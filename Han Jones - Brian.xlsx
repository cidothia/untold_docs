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https://d.docs.live.net/43d0be08dd303885/Documents/RPG/Untold RPG/"/>
    </mc:Choice>
  </mc:AlternateContent>
  <xr:revisionPtr revIDLastSave="0" documentId="8_{323F97E1-4E9F-46F8-B8AC-69E46AF971CB}" xr6:coauthVersionLast="47" xr6:coauthVersionMax="47" xr10:uidLastSave="{00000000-0000-0000-0000-000000000000}"/>
  <bookViews>
    <workbookView xWindow="4270" yWindow="1350" windowWidth="28800" windowHeight="18930" xr2:uid="{B08EC5AE-2733-4F38-B4CD-D3B7BD12B24B}"/>
  </bookViews>
  <sheets>
    <sheet name="Doc" sheetId="1" r:id="rId1"/>
    <sheet name="Skill Calcs" sheetId="3" r:id="rId2"/>
    <sheet name="Edge Calcs" sheetId="11" r:id="rId3"/>
    <sheet name="Tier Calcs" sheetId="6" state="hidden" r:id="rId4"/>
    <sheet name="Parameters" sheetId="5" r:id="rId5"/>
    <sheet name="Morals" sheetId="10" r:id="rId6"/>
  </sheets>
  <externalReferences>
    <externalReference r:id="rId7"/>
  </externalReferences>
  <definedNames>
    <definedName name="_ACTR_1" localSheetId="5">'[1]Skill Calcs'!$Q$2</definedName>
    <definedName name="_ACTR_1">'Skill Calcs'!$L$2</definedName>
    <definedName name="_ACTR_2">'Skill Calcs'!$L$3</definedName>
    <definedName name="_ACTR_3">'Skill Calcs'!$L$4</definedName>
    <definedName name="_ACTR_4">'Skill Calcs'!$L$5</definedName>
    <definedName name="_ACTR_5">'Skill Calcs'!$L$6</definedName>
    <definedName name="_ACTR_6">'Skill Calcs'!$L$7</definedName>
    <definedName name="_ACTR_7">'Skill Calcs'!$L$8</definedName>
    <definedName name="_ACTR_8">'Skill Calcs'!$L$9</definedName>
    <definedName name="_ACTR_9">'Skill Calcs'!$L$10</definedName>
    <definedName name="_AE_CBulk_1">'Edge Calcs'!$M$2</definedName>
    <definedName name="_AE_CBulk_2">'Edge Calcs'!$M$3</definedName>
    <definedName name="_AE_CBulk_3">'Edge Calcs'!$M$4</definedName>
    <definedName name="_AE_CBulk_4">'Edge Calcs'!$M$5</definedName>
    <definedName name="_AE_CBulk_5">'Edge Calcs'!$M$6</definedName>
    <definedName name="_AE_CBulk_6">'Edge Calcs'!$M$7</definedName>
    <definedName name="_AE_CBulk_7">'Edge Calcs'!$M$8</definedName>
    <definedName name="_AE_CBulk_8">'Edge Calcs'!$M$9</definedName>
    <definedName name="_AE_CBulk_9">'Edge Calcs'!$M$10</definedName>
    <definedName name="_AE_CCost_1">'Edge Calcs'!$L$2</definedName>
    <definedName name="_AE_CCost_2">'Edge Calcs'!$L$3</definedName>
    <definedName name="_AE_CCost_3">'Edge Calcs'!$L$4</definedName>
    <definedName name="_AE_CCost_4">'Edge Calcs'!$L$5</definedName>
    <definedName name="_AE_CCost_5">'Edge Calcs'!$L$6</definedName>
    <definedName name="_AE_CCost_6">'Edge Calcs'!$L$7</definedName>
    <definedName name="_AE_CCost_7">'Edge Calcs'!$L$8</definedName>
    <definedName name="_AE_CCost_8">'Edge Calcs'!$L$9</definedName>
    <definedName name="_AE_CCost_9">'Edge Calcs'!$L$10</definedName>
    <definedName name="_CTR_2" localSheetId="5">'[1]Skill Calcs'!$Q$3</definedName>
    <definedName name="_CTR_3" localSheetId="5">'[1]Skill Calcs'!$Q$4</definedName>
    <definedName name="_CTR_4" localSheetId="5">'[1]Skill Calcs'!$Q$5</definedName>
    <definedName name="_CTR_5" localSheetId="5">'[1]Skill Calcs'!$Q$6</definedName>
    <definedName name="_CTR_6" localSheetId="5">'[1]Skill Calcs'!$Q$7</definedName>
    <definedName name="_CTR_7" localSheetId="5">'[1]Skill Calcs'!$Q$8</definedName>
    <definedName name="_CTR_8" localSheetId="5">'[1]Skill Calcs'!$Q$9</definedName>
    <definedName name="_CTR_9" localSheetId="5">'[1]Skill Calcs'!$Q$10</definedName>
    <definedName name="_Lang_CTR">'Skill Calcs'!$L$15</definedName>
    <definedName name="_OCTR_1">'Skill Calcs'!$L$11</definedName>
    <definedName name="_OCTR_2">'Skill Calcs'!$L$12</definedName>
    <definedName name="_OCTR_3">'Skill Calcs'!$L$13</definedName>
    <definedName name="_OCTR_4">'Skill Calcs'!$L$14</definedName>
    <definedName name="_Sum_Skill_Costs" localSheetId="5">'[1]Skill Calcs'!$S$11</definedName>
    <definedName name="_Sum_Skill_Costs">'Skill Calcs'!$N$17</definedName>
    <definedName name="A_Area_1">Doc!$R$11</definedName>
    <definedName name="A_Area_2">Doc!$R$21</definedName>
    <definedName name="A_Area_3">Doc!$R$31</definedName>
    <definedName name="A_Area_4">Doc!$R$41</definedName>
    <definedName name="A_Area_5">Doc!$R$51</definedName>
    <definedName name="A_Area_6">Doc!$R$61</definedName>
    <definedName name="A_Area_7">Doc!$R$71</definedName>
    <definedName name="A_Area_8">Doc!$R$81</definedName>
    <definedName name="A_Area_9">Doc!$R$91</definedName>
    <definedName name="A_Bolster_1">Doc!$Z$11</definedName>
    <definedName name="A_Bolster_2">Doc!$Z$21</definedName>
    <definedName name="A_Bolster_3">Doc!$Z$31</definedName>
    <definedName name="A_Bolster_4">Doc!$Z$41</definedName>
    <definedName name="A_Bolster_5">Doc!$Z$51</definedName>
    <definedName name="A_Bolster_6">Doc!$Z$61</definedName>
    <definedName name="A_Bolster_7">Doc!$Z$71</definedName>
    <definedName name="A_Bolster_8">Doc!$Z$81</definedName>
    <definedName name="A_Bolster_9">Doc!$Z$91</definedName>
    <definedName name="A_Boost_1">Doc!$X$11</definedName>
    <definedName name="A_Boost_2">Doc!$X$21</definedName>
    <definedName name="A_Boost_3">Doc!$X$31</definedName>
    <definedName name="A_Boost_4">Doc!$X$41</definedName>
    <definedName name="A_Boost_5">Doc!$X$51</definedName>
    <definedName name="A_Boost_6">Doc!$X$61</definedName>
    <definedName name="A_Boost_7">Doc!$X$71</definedName>
    <definedName name="A_Boost_8">Doc!$X$81</definedName>
    <definedName name="A_Boost_9">Doc!$X$91</definedName>
    <definedName name="A_Bulk_1">Doc!$AJ$10</definedName>
    <definedName name="A_Bulk_2">Doc!$AJ$20</definedName>
    <definedName name="A_Bulk_3">Doc!$AJ$30</definedName>
    <definedName name="A_Bulk_4">Doc!$AJ$40</definedName>
    <definedName name="A_Bulk_5">Doc!$AJ$50</definedName>
    <definedName name="A_Bulk_6">Doc!$AJ$60</definedName>
    <definedName name="A_Bulk_7">Doc!$AJ$70</definedName>
    <definedName name="A_Bulk_8">Doc!$AJ$80</definedName>
    <definedName name="A_Bulk_9">Doc!$AJ$90</definedName>
    <definedName name="A_Dura_1">Doc!$V$11</definedName>
    <definedName name="A_Dura_2">Doc!$V$21</definedName>
    <definedName name="A_Dura_3">Doc!$V$31</definedName>
    <definedName name="A_Dura_4">Doc!$V$41</definedName>
    <definedName name="A_Dura_5">Doc!$V$51</definedName>
    <definedName name="A_Dura_6">Doc!$V$61</definedName>
    <definedName name="A_Dura_7">Doc!$V$71</definedName>
    <definedName name="A_Dura_8">Doc!$V$81</definedName>
    <definedName name="A_Dura_9">Doc!$V$91</definedName>
    <definedName name="A_Enhance_1">Doc!$AB$11</definedName>
    <definedName name="A_Enhance_2">Doc!$AB$21</definedName>
    <definedName name="A_Enhance_3">Doc!$AB$31</definedName>
    <definedName name="A_Enhance_4">Doc!$AB$41</definedName>
    <definedName name="A_Enhance_5">Doc!$AB$51</definedName>
    <definedName name="A_Enhance_6">Doc!$AB$61</definedName>
    <definedName name="A_Enhance_7">Doc!$AB$71</definedName>
    <definedName name="A_Enhance_8">Doc!$AB$81</definedName>
    <definedName name="A_Enhance_9">Doc!$AB$91</definedName>
    <definedName name="A_Potency_1">Doc!$P$11</definedName>
    <definedName name="A_Potency_2">Doc!$P$21</definedName>
    <definedName name="A_Potency_3">Doc!$P$31</definedName>
    <definedName name="A_Potency_4">Doc!$P$41</definedName>
    <definedName name="A_Potency_5">Doc!$P$51</definedName>
    <definedName name="A_Potency_6">Doc!$P$61</definedName>
    <definedName name="A_Potency_7">Doc!$P$71</definedName>
    <definedName name="A_Potency_8">Doc!$P$81</definedName>
    <definedName name="A_Potency_9">Doc!$P$91</definedName>
    <definedName name="A_Range_1">Doc!$T$11</definedName>
    <definedName name="A_Range_2">Doc!$T$21</definedName>
    <definedName name="A_Range_3">Doc!$T$31</definedName>
    <definedName name="A_Range_4">Doc!$T$41</definedName>
    <definedName name="A_Range_5">Doc!$T$51</definedName>
    <definedName name="A_Range_6">Doc!$T$61</definedName>
    <definedName name="A_Range_7">Doc!$T$71</definedName>
    <definedName name="A_Range_8">Doc!$T$81</definedName>
    <definedName name="A_Range_9">Doc!$T$91</definedName>
    <definedName name="A_Sleek_1">Doc!$AD$11</definedName>
    <definedName name="A_Sleek_2">Doc!$AD$21</definedName>
    <definedName name="A_Sleek_3">Doc!$AD$31</definedName>
    <definedName name="A_Sleek_4">Doc!$AD$41</definedName>
    <definedName name="A_Sleek_5">Doc!$AD$51</definedName>
    <definedName name="A_Sleek_6">Doc!$AD$61</definedName>
    <definedName name="A_Sleek_7">Doc!$AD$71</definedName>
    <definedName name="A_Sleek_8">Doc!$AD$81</definedName>
    <definedName name="A_Sleek_9">Doc!$AD$91</definedName>
    <definedName name="A_SR_1">Doc!$AH$7</definedName>
    <definedName name="A_SR_2">Doc!$AH$17</definedName>
    <definedName name="A_SR_3">Doc!$AH$27</definedName>
    <definedName name="A_SR_4">Doc!$AH$37</definedName>
    <definedName name="A_SR_5">Doc!$AH$47</definedName>
    <definedName name="A_SR_6">Doc!$AH$57</definedName>
    <definedName name="A_SR_7">Doc!$AH$67</definedName>
    <definedName name="A_SR_8">Doc!$AH$77</definedName>
    <definedName name="A_SR_9">Doc!$AH$87</definedName>
    <definedName name="A_TN_1">Doc!$AP$7</definedName>
    <definedName name="A_TN_2">Doc!$AP$17</definedName>
    <definedName name="A_TN_3">Doc!$AP$27</definedName>
    <definedName name="A_TN_4">Doc!$AP$37</definedName>
    <definedName name="A_TN_5">Doc!$AP$47</definedName>
    <definedName name="A_TN_6">Doc!$AP$57</definedName>
    <definedName name="A_TN_7">Doc!$AP$67</definedName>
    <definedName name="A_TN_8">Doc!$AP$77</definedName>
    <definedName name="A_TN_9">Doc!$AP$87</definedName>
    <definedName name="AE_Cost_1">Doc!$AF$11</definedName>
    <definedName name="AE_Cost_2">Doc!$AF$21</definedName>
    <definedName name="AE_Cost_3">Doc!$AF$31</definedName>
    <definedName name="AE_Cost_4">Doc!$AF$41</definedName>
    <definedName name="AE_Cost_5">Doc!$AF$51</definedName>
    <definedName name="AE_Cost_6">Doc!$AF$61</definedName>
    <definedName name="AE_Cost_7">Doc!$AF$71</definedName>
    <definedName name="AE_Cost_8">Doc!$AF$81</definedName>
    <definedName name="AE_Cost_9">Doc!$AF$91</definedName>
    <definedName name="AR_Bulk">Doc!$DL$96</definedName>
    <definedName name="AR_Cost">Doc!$DP$96</definedName>
    <definedName name="ATR_1">Doc!$AL$7</definedName>
    <definedName name="ATR_2">Doc!$AL$17</definedName>
    <definedName name="ATR_3">Doc!$AL$27</definedName>
    <definedName name="ATR_4">Doc!$AL$37</definedName>
    <definedName name="ATR_5">Doc!$AL$47</definedName>
    <definedName name="ATR_6">Doc!$AL$57</definedName>
    <definedName name="ATR_7">Doc!$AL$67</definedName>
    <definedName name="ATR_8">Doc!$AL$77</definedName>
    <definedName name="ATR_9">Doc!$AL$87</definedName>
    <definedName name="BroadSkillAspects">_BroadSkillAndAspects[Aspect]</definedName>
    <definedName name="BroadSkills">_BroadSkillAndAspects[Umbrella Skills]</definedName>
    <definedName name="EdgeCosts">'Edge Calcs'!$L$15</definedName>
    <definedName name="GearCosts">Doc!$AF$99</definedName>
    <definedName name="Lang_SR">Doc!$DH$83</definedName>
    <definedName name="Lang_TN">Doc!$DP$83</definedName>
    <definedName name="Lang_TR">Doc!$DL$83</definedName>
    <definedName name="O_Area_1">Doc!$CX$47</definedName>
    <definedName name="O_Area_2">Doc!$CX$57</definedName>
    <definedName name="O_Area_3">Doc!$CX$67</definedName>
    <definedName name="O_Area_4">Doc!$CX$77</definedName>
    <definedName name="O_Bolster_1">Doc!$DF$47</definedName>
    <definedName name="O_Bolster_2">Doc!$DF$57</definedName>
    <definedName name="O_Bolster_3">Doc!$DF$67</definedName>
    <definedName name="O_Bolster_4">Doc!$DF$77</definedName>
    <definedName name="O_Boost_1">Doc!$DD$47</definedName>
    <definedName name="O_Boost_2">Doc!$DD$57</definedName>
    <definedName name="O_Boost_3">Doc!$DD$67</definedName>
    <definedName name="O_Boost_4">Doc!$DD$77</definedName>
    <definedName name="O_Bulk_1">Doc!$DP$46</definedName>
    <definedName name="O_Bulk_2">Doc!$DP$56</definedName>
    <definedName name="O_Bulk_3">Doc!$DP$66</definedName>
    <definedName name="O_Bulk_4">Doc!$DP$76</definedName>
    <definedName name="O_Dura_1">Doc!$DB$47</definedName>
    <definedName name="O_Dura_2">Doc!$DB$57</definedName>
    <definedName name="O_Dura_3">Doc!$DB$67</definedName>
    <definedName name="O_Dura_4">Doc!$DB$77</definedName>
    <definedName name="O_Enhance_1">Doc!$DH$47</definedName>
    <definedName name="O_Enhance_2">Doc!$DH$57</definedName>
    <definedName name="O_Enhance_3">Doc!$DH$67</definedName>
    <definedName name="O_Enhance_4">Doc!$DH$77</definedName>
    <definedName name="O_Potency_1">Doc!$CV$47</definedName>
    <definedName name="O_Potency_2">Doc!$CV$57</definedName>
    <definedName name="O_Potency_3">Doc!$CV$67</definedName>
    <definedName name="O_Potency_4">Doc!$CV$77</definedName>
    <definedName name="O_Range_1">Doc!$CZ$47</definedName>
    <definedName name="O_Range_2">Doc!$CZ$57</definedName>
    <definedName name="O_Range_3">Doc!$CZ$67</definedName>
    <definedName name="O_Range_4">Doc!$CZ$77</definedName>
    <definedName name="O_Sleek_1">Doc!$DJ$47</definedName>
    <definedName name="O_Sleek_2">Doc!$DJ$57</definedName>
    <definedName name="O_Sleek_3">Doc!$DJ$67</definedName>
    <definedName name="O_Sleek_4">Doc!$DJ$77</definedName>
    <definedName name="O_SR_1" comment="Crafting &amp; Knowledge Skill Rank 1">Doc!$DH$43</definedName>
    <definedName name="O_SR_2">Doc!$DH$53</definedName>
    <definedName name="O_SR_3">Doc!$DH$63</definedName>
    <definedName name="O_SR_4">Doc!$DH$73</definedName>
    <definedName name="O_TN_1">Doc!$DP$43</definedName>
    <definedName name="O_TN_2">Doc!$DP$53</definedName>
    <definedName name="O_TN_3">Doc!$DP$63</definedName>
    <definedName name="O_TN_4">Doc!$DP$73</definedName>
    <definedName name="O_TR_1">Doc!$DL$43</definedName>
    <definedName name="O_TR_2">Doc!$DL$53</definedName>
    <definedName name="O_TR_3">Doc!$DL$63</definedName>
    <definedName name="O_TR_4">Doc!$DL$73</definedName>
    <definedName name="OE_Cost_1">Doc!$DL$47</definedName>
    <definedName name="OE_Cost_2">Doc!$DL$57</definedName>
    <definedName name="OE_Cost_3">Doc!$DL$67</definedName>
    <definedName name="OE_Cost_4">Doc!$DL$77</definedName>
    <definedName name="S_TN_1" localSheetId="5">[1]Doc!$AP$7</definedName>
    <definedName name="S_TN_2" localSheetId="5">[1]Doc!$AP$17</definedName>
    <definedName name="S_TN_3" localSheetId="5">[1]Doc!$AP$27</definedName>
    <definedName name="S_TN_4" localSheetId="5">[1]Doc!$AP$37</definedName>
    <definedName name="S_TN_5" localSheetId="5">[1]Doc!$AP$47</definedName>
    <definedName name="S_TN_6" localSheetId="5">[1]Doc!$AP$57</definedName>
    <definedName name="S_TN_7" localSheetId="5">[1]Doc!$AP$67</definedName>
    <definedName name="S_TN_8" localSheetId="5">[1]Doc!$AP$77</definedName>
    <definedName name="S_TN_9" localSheetId="5">[1]Doc!$AP$87</definedName>
    <definedName name="SR_1" localSheetId="5">[1]Doc!$AH$7</definedName>
    <definedName name="SR_2" localSheetId="5">[1]Doc!$AH$17</definedName>
    <definedName name="SR_3" localSheetId="5">[1]Doc!$AH$27</definedName>
    <definedName name="SR_4" localSheetId="5">[1]Doc!$AH$37</definedName>
    <definedName name="SR_5" localSheetId="5">[1]Doc!$AH$47</definedName>
    <definedName name="SR_6" localSheetId="5">[1]Doc!$AH$57</definedName>
    <definedName name="SR_7" localSheetId="5">[1]Doc!$AH$67</definedName>
    <definedName name="SR_8" localSheetId="5">[1]Doc!$AH$77</definedName>
    <definedName name="SR_9" localSheetId="5">[1]Doc!$AH$87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 i="3" l="1"/>
  <c r="O15" i="3" s="1"/>
  <c r="C3" i="3"/>
  <c r="I13" i="11"/>
  <c r="I12" i="11"/>
  <c r="I11" i="11"/>
  <c r="H14" i="11"/>
  <c r="H13" i="11"/>
  <c r="H12" i="11"/>
  <c r="G13" i="11"/>
  <c r="G14" i="11"/>
  <c r="G12" i="11"/>
  <c r="F14" i="11"/>
  <c r="F13" i="11"/>
  <c r="F12" i="11"/>
  <c r="I14" i="11"/>
  <c r="H11" i="11"/>
  <c r="G11" i="11"/>
  <c r="F11" i="11"/>
  <c r="E14" i="11"/>
  <c r="E13" i="11"/>
  <c r="E12" i="11"/>
  <c r="E11" i="11"/>
  <c r="D14" i="11"/>
  <c r="D13" i="11"/>
  <c r="D11" i="11"/>
  <c r="C14" i="11"/>
  <c r="C13" i="11"/>
  <c r="C12" i="11"/>
  <c r="C11" i="11"/>
  <c r="D12" i="11"/>
  <c r="B13" i="11"/>
  <c r="M13" i="11" s="1"/>
  <c r="B14" i="11"/>
  <c r="M14" i="11" s="1"/>
  <c r="B12" i="11"/>
  <c r="M12" i="11" s="1"/>
  <c r="B11" i="11"/>
  <c r="M11" i="11" s="1"/>
  <c r="I10" i="11"/>
  <c r="I9" i="11"/>
  <c r="I8" i="11"/>
  <c r="I7" i="11"/>
  <c r="I6" i="11"/>
  <c r="I5" i="11"/>
  <c r="I4" i="11"/>
  <c r="I3" i="11"/>
  <c r="H10" i="11"/>
  <c r="H9" i="11"/>
  <c r="H8" i="11"/>
  <c r="H7" i="11"/>
  <c r="H6" i="11"/>
  <c r="H5" i="11"/>
  <c r="H4" i="11"/>
  <c r="H3" i="11"/>
  <c r="G10" i="11"/>
  <c r="G9" i="11"/>
  <c r="G8" i="11"/>
  <c r="G7" i="11"/>
  <c r="G6" i="11"/>
  <c r="G5" i="11"/>
  <c r="G4" i="11"/>
  <c r="G3" i="11"/>
  <c r="F10" i="11"/>
  <c r="F9" i="11"/>
  <c r="F8" i="11"/>
  <c r="F7" i="11"/>
  <c r="F6" i="11"/>
  <c r="F5" i="11"/>
  <c r="F4" i="11"/>
  <c r="F3" i="11"/>
  <c r="E10" i="11"/>
  <c r="E9" i="11"/>
  <c r="E8" i="11"/>
  <c r="E7" i="11"/>
  <c r="E6" i="11"/>
  <c r="E5" i="11"/>
  <c r="E4" i="11"/>
  <c r="E3" i="11"/>
  <c r="D10" i="11"/>
  <c r="D9" i="11"/>
  <c r="D8" i="11"/>
  <c r="D7" i="11"/>
  <c r="D6" i="11"/>
  <c r="D5" i="11"/>
  <c r="D4" i="11"/>
  <c r="D3" i="11"/>
  <c r="C10" i="11"/>
  <c r="C9" i="11"/>
  <c r="C8" i="11"/>
  <c r="L8" i="11" s="1"/>
  <c r="AF71" i="1" s="1"/>
  <c r="C7" i="11"/>
  <c r="C6" i="11"/>
  <c r="C5" i="11"/>
  <c r="C4" i="11"/>
  <c r="C3" i="11"/>
  <c r="B10" i="11"/>
  <c r="B9" i="11"/>
  <c r="B8" i="11"/>
  <c r="B7" i="11"/>
  <c r="L7" i="11" s="1"/>
  <c r="AF61" i="1" s="1"/>
  <c r="B6" i="11"/>
  <c r="L6" i="11" s="1"/>
  <c r="AF51" i="1" s="1"/>
  <c r="B5" i="11"/>
  <c r="B4" i="11"/>
  <c r="B3" i="11"/>
  <c r="L3" i="11" s="1"/>
  <c r="AF21" i="1" s="1"/>
  <c r="I2" i="11"/>
  <c r="H2" i="11"/>
  <c r="G2" i="11"/>
  <c r="F2" i="11"/>
  <c r="E2" i="11"/>
  <c r="D2" i="11"/>
  <c r="C2" i="11"/>
  <c r="B2" i="11"/>
  <c r="AP90" i="1"/>
  <c r="AP80" i="1"/>
  <c r="AP70" i="1"/>
  <c r="AP60" i="1"/>
  <c r="AP50" i="1"/>
  <c r="AP40" i="1"/>
  <c r="AP30" i="1"/>
  <c r="AP20" i="1"/>
  <c r="AP10" i="1"/>
  <c r="DB73" i="1"/>
  <c r="DB63" i="1"/>
  <c r="DB53" i="1"/>
  <c r="DB43" i="1"/>
  <c r="AB87" i="1"/>
  <c r="AB77" i="1"/>
  <c r="AB67" i="1"/>
  <c r="AB57" i="1"/>
  <c r="AB47" i="1"/>
  <c r="AB37" i="1"/>
  <c r="AB27" i="1"/>
  <c r="AB17" i="1"/>
  <c r="AB7" i="1"/>
  <c r="R16" i="3"/>
  <c r="Q16" i="3"/>
  <c r="M15" i="3"/>
  <c r="P15" i="3" s="1"/>
  <c r="M14" i="3"/>
  <c r="P14" i="3" s="1"/>
  <c r="M13" i="3"/>
  <c r="P13" i="3" s="1"/>
  <c r="M12" i="3"/>
  <c r="P12" i="3" s="1"/>
  <c r="M11" i="3"/>
  <c r="P11" i="3" s="1"/>
  <c r="K14" i="3"/>
  <c r="N14" i="3" s="1"/>
  <c r="K13" i="3"/>
  <c r="N13" i="3" s="1"/>
  <c r="K12" i="3"/>
  <c r="N12" i="3" s="1"/>
  <c r="K11" i="3"/>
  <c r="N11" i="3" s="1"/>
  <c r="CA33" i="1"/>
  <c r="BR22" i="1"/>
  <c r="CA11" i="1"/>
  <c r="L15" i="3" l="1" a="1"/>
  <c r="L15" i="3" s="1"/>
  <c r="L11" i="11"/>
  <c r="L13" i="11"/>
  <c r="L14" i="11"/>
  <c r="L12" i="11"/>
  <c r="L10" i="11"/>
  <c r="AF91" i="1" s="1"/>
  <c r="M8" i="11"/>
  <c r="L4" i="11"/>
  <c r="AF31" i="1" s="1"/>
  <c r="L9" i="11"/>
  <c r="AF81" i="1" s="1"/>
  <c r="L5" i="11"/>
  <c r="AF41" i="1" s="1"/>
  <c r="DL83" i="1"/>
  <c r="M3" i="11"/>
  <c r="M4" i="11"/>
  <c r="M5" i="11"/>
  <c r="M6" i="11"/>
  <c r="M7" i="11"/>
  <c r="M10" i="11"/>
  <c r="M9" i="11"/>
  <c r="O13" i="3"/>
  <c r="L13" i="3" s="1" a="1"/>
  <c r="L13" i="3" s="1"/>
  <c r="DL63" i="1" s="1"/>
  <c r="O12" i="3"/>
  <c r="L12" i="3" s="1" a="1"/>
  <c r="L12" i="3" s="1"/>
  <c r="DL53" i="1" s="1"/>
  <c r="O11" i="3"/>
  <c r="L11" i="3" s="1" a="1"/>
  <c r="L11" i="3" s="1"/>
  <c r="DL43" i="1" s="1"/>
  <c r="O14" i="3"/>
  <c r="L14" i="3" s="1" a="1"/>
  <c r="L14" i="3" s="1"/>
  <c r="DL73" i="1" s="1"/>
  <c r="L2" i="11"/>
  <c r="AF11" i="1" s="1"/>
  <c r="M2" i="11"/>
  <c r="A8" i="5"/>
  <c r="A9" i="5" s="1"/>
  <c r="A10" i="5" s="1"/>
  <c r="A11" i="5" s="1"/>
  <c r="A12" i="5" s="1"/>
  <c r="A13" i="5" s="1"/>
  <c r="A14" i="5" s="1"/>
  <c r="G20" i="6"/>
  <c r="H20" i="6"/>
  <c r="I20" i="6"/>
  <c r="J20" i="6"/>
  <c r="K20" i="6"/>
  <c r="M21" i="6"/>
  <c r="C22" i="6"/>
  <c r="D22" i="6"/>
  <c r="E22" i="6"/>
  <c r="H23" i="6"/>
  <c r="I23" i="6"/>
  <c r="J23" i="6"/>
  <c r="C26" i="6"/>
  <c r="D26" i="6"/>
  <c r="E26" i="6"/>
  <c r="F26" i="6"/>
  <c r="G26" i="6"/>
  <c r="H26" i="6"/>
  <c r="I26" i="6"/>
  <c r="C27" i="6"/>
  <c r="E27" i="6"/>
  <c r="H27" i="6"/>
  <c r="I27" i="6"/>
  <c r="J27" i="6"/>
  <c r="K27" i="6"/>
  <c r="L27" i="6"/>
  <c r="M27" i="6"/>
  <c r="C28" i="6"/>
  <c r="H28" i="6"/>
  <c r="J28" i="6"/>
  <c r="M28" i="6"/>
  <c r="C29" i="6"/>
  <c r="D29" i="6"/>
  <c r="E29" i="6"/>
  <c r="F29" i="6"/>
  <c r="G29" i="6"/>
  <c r="H29" i="6"/>
  <c r="D30" i="6"/>
  <c r="E30" i="6"/>
  <c r="G30" i="6"/>
  <c r="H30" i="6"/>
  <c r="I30" i="6"/>
  <c r="J30" i="6"/>
  <c r="K30" i="6"/>
  <c r="L30" i="6"/>
  <c r="M30" i="6"/>
  <c r="B26" i="6"/>
  <c r="C19" i="6"/>
  <c r="D19" i="6"/>
  <c r="E19" i="6"/>
  <c r="F19" i="6"/>
  <c r="G19" i="6"/>
  <c r="B19" i="6"/>
  <c r="L15" i="6"/>
  <c r="I29" i="6" s="1"/>
  <c r="M15" i="6"/>
  <c r="B30" i="6" s="1"/>
  <c r="B15" i="6"/>
  <c r="H19" i="6" s="1"/>
  <c r="C15" i="6"/>
  <c r="L20" i="6" s="1"/>
  <c r="D15" i="6"/>
  <c r="C21" i="6" s="1"/>
  <c r="E15" i="6"/>
  <c r="F22" i="6" s="1"/>
  <c r="F15" i="6"/>
  <c r="K23" i="6" s="1"/>
  <c r="G15" i="6"/>
  <c r="D24" i="6" s="1"/>
  <c r="H15" i="6"/>
  <c r="E25" i="6" s="1"/>
  <c r="I15" i="6"/>
  <c r="J26" i="6" s="1"/>
  <c r="K15" i="6"/>
  <c r="D28" i="6" s="1"/>
  <c r="J15" i="6"/>
  <c r="B27" i="6" s="1"/>
  <c r="BI33" i="1"/>
  <c r="BI11" i="1"/>
  <c r="M10" i="3"/>
  <c r="P10" i="3" s="1"/>
  <c r="M9" i="3"/>
  <c r="P9" i="3" s="1"/>
  <c r="M8" i="3"/>
  <c r="P8" i="3" s="1"/>
  <c r="M7" i="3"/>
  <c r="P7" i="3" s="1"/>
  <c r="M6" i="3"/>
  <c r="P6" i="3" s="1"/>
  <c r="M5" i="3"/>
  <c r="P5" i="3" s="1"/>
  <c r="M4" i="3"/>
  <c r="P4" i="3" s="1"/>
  <c r="M3" i="3"/>
  <c r="P3" i="3" s="1"/>
  <c r="M2" i="3"/>
  <c r="P2" i="3" s="1"/>
  <c r="K10" i="3"/>
  <c r="N10" i="3" s="1"/>
  <c r="K9" i="3"/>
  <c r="N9" i="3" s="1"/>
  <c r="K8" i="3"/>
  <c r="N8" i="3" s="1"/>
  <c r="K7" i="3"/>
  <c r="N7" i="3" s="1"/>
  <c r="K6" i="3"/>
  <c r="N6" i="3" s="1"/>
  <c r="K5" i="3"/>
  <c r="N5" i="3" s="1"/>
  <c r="K4" i="3"/>
  <c r="N4" i="3" s="1"/>
  <c r="K3" i="3"/>
  <c r="N3" i="3" s="1"/>
  <c r="K2" i="3"/>
  <c r="N2" i="3" s="1"/>
  <c r="C4" i="3"/>
  <c r="C5" i="3" s="1"/>
  <c r="C6" i="3" s="1"/>
  <c r="C7" i="3" s="1"/>
  <c r="C8" i="3" s="1"/>
  <c r="C9" i="3" l="1"/>
  <c r="C10" i="3" s="1"/>
  <c r="C11" i="3" s="1"/>
  <c r="C12" i="3" s="1"/>
  <c r="C13" i="3" s="1"/>
  <c r="C14" i="3" s="1"/>
  <c r="N15" i="3"/>
  <c r="N16" i="3" s="1"/>
  <c r="L15" i="11"/>
  <c r="O2" i="3"/>
  <c r="L2" i="3" s="1" a="1"/>
  <c r="L2" i="3" s="1"/>
  <c r="O4" i="3"/>
  <c r="L4" i="3" s="1" a="1"/>
  <c r="L4" i="3" s="1"/>
  <c r="O9" i="3"/>
  <c r="L9" i="3" s="1" a="1"/>
  <c r="L9" i="3" s="1"/>
  <c r="O8" i="3"/>
  <c r="L8" i="3" s="1" a="1"/>
  <c r="L8" i="3" s="1"/>
  <c r="O7" i="3"/>
  <c r="L7" i="3" s="1" a="1"/>
  <c r="L7" i="3" s="1"/>
  <c r="O6" i="3"/>
  <c r="L6" i="3" s="1" a="1"/>
  <c r="L6" i="3" s="1"/>
  <c r="O5" i="3"/>
  <c r="L5" i="3" s="1" a="1"/>
  <c r="L5" i="3" s="1"/>
  <c r="O3" i="3"/>
  <c r="L3" i="3" s="1" a="1"/>
  <c r="L3" i="3" s="1"/>
  <c r="O10" i="3"/>
  <c r="L10" i="3" s="1" a="1"/>
  <c r="L10" i="3" s="1"/>
  <c r="L24" i="6"/>
  <c r="L21" i="6"/>
  <c r="B20" i="6"/>
  <c r="K21" i="6"/>
  <c r="B21" i="6"/>
  <c r="I24" i="6"/>
  <c r="D23" i="6"/>
  <c r="E20" i="6"/>
  <c r="F20" i="6"/>
  <c r="J21" i="6"/>
  <c r="B22" i="6"/>
  <c r="F30" i="6"/>
  <c r="L28" i="6"/>
  <c r="G27" i="6"/>
  <c r="M25" i="6"/>
  <c r="H24" i="6"/>
  <c r="C23" i="6"/>
  <c r="I21" i="6"/>
  <c r="D20" i="6"/>
  <c r="B23" i="6"/>
  <c r="K28" i="6"/>
  <c r="F27" i="6"/>
  <c r="L25" i="6"/>
  <c r="G24" i="6"/>
  <c r="M22" i="6"/>
  <c r="H21" i="6"/>
  <c r="C20" i="6"/>
  <c r="D25" i="6"/>
  <c r="G23" i="6"/>
  <c r="F24" i="6"/>
  <c r="L22" i="6"/>
  <c r="G21" i="6"/>
  <c r="M19" i="6"/>
  <c r="B25" i="6"/>
  <c r="C30" i="6"/>
  <c r="I28" i="6"/>
  <c r="D27" i="6"/>
  <c r="J25" i="6"/>
  <c r="E24" i="6"/>
  <c r="K22" i="6"/>
  <c r="F21" i="6"/>
  <c r="C25" i="6"/>
  <c r="K24" i="6"/>
  <c r="K25" i="6"/>
  <c r="M29" i="6"/>
  <c r="I25" i="6"/>
  <c r="K19" i="6"/>
  <c r="L29" i="6"/>
  <c r="G28" i="6"/>
  <c r="M26" i="6"/>
  <c r="H25" i="6"/>
  <c r="C24" i="6"/>
  <c r="I22" i="6"/>
  <c r="D21" i="6"/>
  <c r="M24" i="6"/>
  <c r="J24" i="6"/>
  <c r="E21" i="6"/>
  <c r="J19" i="6"/>
  <c r="B28" i="6"/>
  <c r="K29" i="6"/>
  <c r="F28" i="6"/>
  <c r="L26" i="6"/>
  <c r="G25" i="6"/>
  <c r="M23" i="6"/>
  <c r="H22" i="6"/>
  <c r="E23" i="6"/>
  <c r="B24" i="6"/>
  <c r="L19" i="6"/>
  <c r="J22" i="6"/>
  <c r="I19" i="6"/>
  <c r="B29" i="6"/>
  <c r="J29" i="6"/>
  <c r="E28" i="6"/>
  <c r="K26" i="6"/>
  <c r="F25" i="6"/>
  <c r="L23" i="6"/>
  <c r="G22" i="6"/>
  <c r="M20" i="6"/>
  <c r="F23" i="6"/>
  <c r="N17" i="3" l="1"/>
  <c r="AA97" i="1" s="1" a="1"/>
  <c r="AA97" i="1" s="1"/>
  <c r="AL7" i="1"/>
  <c r="AP13" i="1" s="1"/>
  <c r="AL57" i="1"/>
  <c r="AP63" i="1" s="1"/>
  <c r="AL17" i="1"/>
  <c r="AP23" i="1" s="1"/>
  <c r="AL37" i="1"/>
  <c r="AP43" i="1" s="1"/>
  <c r="AL47" i="1"/>
  <c r="AP53" i="1" s="1"/>
  <c r="AL67" i="1"/>
  <c r="AP73" i="1" s="1"/>
  <c r="AL27" i="1"/>
  <c r="AP33" i="1" s="1"/>
  <c r="AL77" i="1"/>
  <c r="AP83" i="1" s="1"/>
  <c r="AL87" i="1"/>
  <c r="AP93" i="1" s="1"/>
  <c r="AO97"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<sst xmlns="http://schemas.openxmlformats.org/spreadsheetml/2006/main" count="406" uniqueCount="235">
  <si>
    <t>Name:</t>
  </si>
  <si>
    <t>Species:</t>
  </si>
  <si>
    <t>Untold RPG</t>
  </si>
  <si>
    <t>Body</t>
  </si>
  <si>
    <t>Wounds &amp; Exertion</t>
  </si>
  <si>
    <t>Mind</t>
  </si>
  <si>
    <t>Endurance</t>
  </si>
  <si>
    <t>Tenacity</t>
  </si>
  <si>
    <t>Resilience</t>
  </si>
  <si>
    <t>Wounds</t>
  </si>
  <si>
    <t>Strain</t>
  </si>
  <si>
    <t>↘</t>
  </si>
  <si>
    <t>↙</t>
  </si>
  <si>
    <t>Vitality</t>
  </si>
  <si>
    <t>Sanity</t>
  </si>
  <si>
    <t>TN</t>
  </si>
  <si>
    <t>SR</t>
  </si>
  <si>
    <t>TR</t>
  </si>
  <si>
    <t>Skill</t>
  </si>
  <si>
    <t>Umb</t>
  </si>
  <si>
    <t>D</t>
  </si>
  <si>
    <t>dg</t>
  </si>
  <si>
    <t>init</t>
  </si>
  <si>
    <t>base</t>
  </si>
  <si>
    <t>Conduct</t>
  </si>
  <si>
    <t>Cost</t>
  </si>
  <si>
    <t>Moral Code</t>
  </si>
  <si>
    <t>Currency Rank</t>
  </si>
  <si>
    <t>Society Rank</t>
  </si>
  <si>
    <t>blk</t>
  </si>
  <si>
    <t>Bulk</t>
  </si>
  <si>
    <t>A</t>
  </si>
  <si>
    <t>R</t>
  </si>
  <si>
    <t>BL</t>
  </si>
  <si>
    <t>Motivations &amp; Goals</t>
  </si>
  <si>
    <t>Description &amp; Traits</t>
  </si>
  <si>
    <t>AP</t>
  </si>
  <si>
    <t>spnt</t>
  </si>
  <si>
    <t>earn</t>
  </si>
  <si>
    <t>creation</t>
  </si>
  <si>
    <t>Cognition</t>
  </si>
  <si>
    <t>Craft</t>
  </si>
  <si>
    <t>Handling</t>
  </si>
  <si>
    <t>Infiltration</t>
  </si>
  <si>
    <t>Influence</t>
  </si>
  <si>
    <t>Knowledge</t>
  </si>
  <si>
    <t>Language</t>
  </si>
  <si>
    <t>Performance</t>
  </si>
  <si>
    <t>Piloting</t>
  </si>
  <si>
    <t>Survival</t>
  </si>
  <si>
    <t>Athletics</t>
  </si>
  <si>
    <t>Coordination</t>
  </si>
  <si>
    <t>Combat: Thrown</t>
  </si>
  <si>
    <t>Umbrella Skills</t>
  </si>
  <si>
    <t>Edges, etc.</t>
  </si>
  <si>
    <t>Devotion</t>
  </si>
  <si>
    <t>Favor</t>
  </si>
  <si>
    <t>Spirit</t>
  </si>
  <si>
    <t>Will</t>
  </si>
  <si>
    <t>Killing</t>
  </si>
  <si>
    <t>Lying</t>
  </si>
  <si>
    <t>Breaking Word</t>
  </si>
  <si>
    <t>Stealing</t>
  </si>
  <si>
    <t>Denying Aid</t>
  </si>
  <si>
    <t>Conducts</t>
  </si>
  <si>
    <t>Target Number</t>
  </si>
  <si>
    <t>Ct</t>
  </si>
  <si>
    <t>S</t>
  </si>
  <si>
    <t>Rank</t>
  </si>
  <si>
    <t>Tier</t>
  </si>
  <si>
    <t>Target</t>
  </si>
  <si>
    <t>ava</t>
  </si>
  <si>
    <t>B/M</t>
  </si>
  <si>
    <t>Engaged</t>
  </si>
  <si>
    <t>Close</t>
  </si>
  <si>
    <t>Near</t>
  </si>
  <si>
    <t>Short</t>
  </si>
  <si>
    <t>Apart</t>
  </si>
  <si>
    <t>Vast</t>
  </si>
  <si>
    <t>Continent</t>
  </si>
  <si>
    <t>World</t>
  </si>
  <si>
    <t>System</t>
  </si>
  <si>
    <t>Beyond</t>
  </si>
  <si>
    <t>Those you could speak with without shouting in a restaurant</t>
  </si>
  <si>
    <t>Those you could play catch with or speak with if you raised your voice</t>
  </si>
  <si>
    <t>It would take you several days to walk there.</t>
  </si>
  <si>
    <t>You could walk there in a day</t>
  </si>
  <si>
    <t>You could walk there in less than an hour</t>
  </si>
  <si>
    <t>You could see them unaided if you had 20/20 vision.</t>
  </si>
  <si>
    <t>With Speaker and Microphone they could hear you</t>
  </si>
  <si>
    <t>Landmass away, an epic walk</t>
  </si>
  <si>
    <t>The entire world contained within a Magnetic Field</t>
  </si>
  <si>
    <t>The entire Solar System contained by the Heliosphere of the Sun(s)</t>
  </si>
  <si>
    <t>Pretty much any distance, recommend that it isn't the entire galaxy.</t>
  </si>
  <si>
    <t>Instant</t>
  </si>
  <si>
    <t>a spirited exchange between two arguing</t>
  </si>
  <si>
    <t>a heartbeat</t>
  </si>
  <si>
    <t>the entire argument</t>
  </si>
  <si>
    <t>Decade</t>
  </si>
  <si>
    <t>Year</t>
  </si>
  <si>
    <t>Season</t>
  </si>
  <si>
    <t>Scene</t>
  </si>
  <si>
    <t>Day</t>
  </si>
  <si>
    <t>10 rotations</t>
  </si>
  <si>
    <t>Durations</t>
  </si>
  <si>
    <t>DL/Reroll</t>
  </si>
  <si>
    <t>Potency</t>
  </si>
  <si>
    <t>-</t>
  </si>
  <si>
    <t>Range &amp; Area (Assign Cost Twice)</t>
  </si>
  <si>
    <t>InT</t>
  </si>
  <si>
    <t>OutT</t>
  </si>
  <si>
    <t>Advantages</t>
  </si>
  <si>
    <t>Disadvantages</t>
  </si>
  <si>
    <t>TN 9</t>
  </si>
  <si>
    <t>TN 10</t>
  </si>
  <si>
    <t>TN 8</t>
  </si>
  <si>
    <t>TN 7</t>
  </si>
  <si>
    <t>TN 6</t>
  </si>
  <si>
    <t>TN 5</t>
  </si>
  <si>
    <t>TN 4</t>
  </si>
  <si>
    <t>TN 2</t>
  </si>
  <si>
    <t>TN 3</t>
  </si>
  <si>
    <t>TN 1</t>
  </si>
  <si>
    <t>TN 11</t>
  </si>
  <si>
    <t>TN 12</t>
  </si>
  <si>
    <t>Facing</t>
  </si>
  <si>
    <t>Number of Dice</t>
  </si>
  <si>
    <t>S Rank</t>
  </si>
  <si>
    <t>City</t>
  </si>
  <si>
    <t>Base</t>
  </si>
  <si>
    <t>Novice</t>
  </si>
  <si>
    <t>Amateur</t>
  </si>
  <si>
    <t>Competent</t>
  </si>
  <si>
    <t>Practiced</t>
  </si>
  <si>
    <t>Proficient</t>
  </si>
  <si>
    <t>Adept</t>
  </si>
  <si>
    <t>Accomplished</t>
  </si>
  <si>
    <t>Veteran</t>
  </si>
  <si>
    <t>Expert</t>
  </si>
  <si>
    <t>Master</t>
  </si>
  <si>
    <t>Renowned</t>
  </si>
  <si>
    <t>Legendary</t>
  </si>
  <si>
    <t>Title</t>
  </si>
  <si>
    <t>Aspect</t>
  </si>
  <si>
    <t>SR Idx</t>
  </si>
  <si>
    <t>TN Idx</t>
  </si>
  <si>
    <t>Month</t>
  </si>
  <si>
    <t>Week</t>
  </si>
  <si>
    <t>Turn</t>
  </si>
  <si>
    <t>Lifetime</t>
  </si>
  <si>
    <t>3 rounds</t>
  </si>
  <si>
    <t>6 rounds</t>
  </si>
  <si>
    <t>the turning of a planet</t>
  </si>
  <si>
    <t>the complete cycle of a astral body</t>
  </si>
  <si>
    <t>Solstice to Equinox or vice versa</t>
  </si>
  <si>
    <t>a grouping of days, determined by a calendar</t>
  </si>
  <si>
    <t>the rotation of the planet around a sun</t>
  </si>
  <si>
    <t>the lifetime of the target</t>
  </si>
  <si>
    <t>Permanent</t>
  </si>
  <si>
    <t>incalculable duration</t>
  </si>
  <si>
    <t>within reach</t>
  </si>
  <si>
    <t>self or target</t>
  </si>
  <si>
    <t>Distant</t>
  </si>
  <si>
    <t>Adv/Dis</t>
  </si>
  <si>
    <t>In Tribe</t>
  </si>
  <si>
    <t>Out of Tribe</t>
  </si>
  <si>
    <t>Active Skills:</t>
  </si>
  <si>
    <t>BTR</t>
  </si>
  <si>
    <t>BDR</t>
  </si>
  <si>
    <t>MDR</t>
  </si>
  <si>
    <t>MTR</t>
  </si>
  <si>
    <t>Equiped Armor</t>
  </si>
  <si>
    <t>AR</t>
  </si>
  <si>
    <t>TechCost</t>
  </si>
  <si>
    <t>Override</t>
  </si>
  <si>
    <t>E</t>
  </si>
  <si>
    <t>B</t>
  </si>
  <si>
    <t>A1</t>
  </si>
  <si>
    <t>A2</t>
  </si>
  <si>
    <t>A3</t>
  </si>
  <si>
    <t>A4</t>
  </si>
  <si>
    <t>A5</t>
  </si>
  <si>
    <t>A6</t>
  </si>
  <si>
    <t>A7</t>
  </si>
  <si>
    <t>A8</t>
  </si>
  <si>
    <t>A9</t>
  </si>
  <si>
    <t>O1</t>
  </si>
  <si>
    <t>O2</t>
  </si>
  <si>
    <t>O3</t>
  </si>
  <si>
    <t>O4</t>
  </si>
  <si>
    <t>Lang</t>
  </si>
  <si>
    <t>Edges</t>
  </si>
  <si>
    <t>Area</t>
  </si>
  <si>
    <t>Range</t>
  </si>
  <si>
    <t>Duration</t>
  </si>
  <si>
    <t>Boost</t>
  </si>
  <si>
    <t>Bolster</t>
  </si>
  <si>
    <t>Enhance</t>
  </si>
  <si>
    <t>Sleek</t>
  </si>
  <si>
    <t>Total Cost</t>
  </si>
  <si>
    <t>Combat: Brutal</t>
  </si>
  <si>
    <t>Combat: Finesse</t>
  </si>
  <si>
    <t>Combat: Close</t>
  </si>
  <si>
    <t>Combat: Missile</t>
  </si>
  <si>
    <t>Combat: Firearms</t>
  </si>
  <si>
    <t>Total</t>
  </si>
  <si>
    <t>Han Jones (Brian)</t>
  </si>
  <si>
    <t>Human</t>
  </si>
  <si>
    <t>Haggling</t>
  </si>
  <si>
    <t>Sincere (1)</t>
  </si>
  <si>
    <t>Persuasion</t>
  </si>
  <si>
    <t>Deception</t>
  </si>
  <si>
    <t>Observation</t>
  </si>
  <si>
    <t>Security</t>
  </si>
  <si>
    <t>Energy Pistol</t>
  </si>
  <si>
    <t>Computation</t>
  </si>
  <si>
    <t>Deduction</t>
  </si>
  <si>
    <t>Beuracracy</t>
  </si>
  <si>
    <t>Jungle</t>
  </si>
  <si>
    <t>Street</t>
  </si>
  <si>
    <t>Adaptable (1)</t>
  </si>
  <si>
    <t>Addict: Vaping (Sc 12, Cm 3, Agitation 1)</t>
  </si>
  <si>
    <t>Obsession: Greed (2)</t>
  </si>
  <si>
    <t>Wanted: Loan Shark (A:3,F:6,L:3,C:6)</t>
  </si>
  <si>
    <t>Sincere (Enhance 1: Influence)</t>
  </si>
  <si>
    <t>Adaptable (Enhance 1: Survival)</t>
  </si>
  <si>
    <t>Resourceful (+1 Tier: Apple:Orange)</t>
  </si>
  <si>
    <t>Breaking Your Word</t>
  </si>
  <si>
    <t>Stealth</t>
  </si>
  <si>
    <t>Mag Vehicles</t>
  </si>
  <si>
    <t>Weaknesses</t>
  </si>
  <si>
    <t>Strengths</t>
  </si>
  <si>
    <t>Other Skills</t>
  </si>
  <si>
    <t>Animal Incompetance</t>
  </si>
  <si>
    <t>U Traits: Loud Laugh, Disorganized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</si>
</sst>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Fira Sans"/>
      <family val="2"/>
    </font>
    <font>
      <sz val="11"/>
      <color theme="0"/>
      <name val="Fira Sans"/>
      <family val="2"/>
    </font>
    <font>
      <sz val="9"/>
      <color theme="1"/>
      <name val="Fira Sans"/>
      <family val="2"/>
    </font>
    <font>
      <sz val="36"/>
      <color theme="9" tint="-0.499984740745262"/>
      <name val="Calibri"/>
      <family val="2"/>
    </font>
    <font>
      <sz val="36"/>
      <color theme="9" tint="-0.499984740745262"/>
      <name val="Fira Sans"/>
      <family val="2"/>
    </font>
    <font>
      <sz val="36"/>
      <color theme="9" tint="0.39997558519241921"/>
      <name val="Calibri"/>
      <family val="2"/>
    </font>
    <font>
      <sz val="36"/>
      <color theme="9" tint="0.39997558519241921"/>
      <name val="Fira Sans"/>
      <family val="2"/>
    </font>
    <font>
      <sz val="9"/>
      <color theme="0"/>
      <name val="Fira Sans"/>
      <family val="2"/>
    </font>
    <font>
      <sz val="10"/>
      <color theme="0"/>
      <name val="Fira Sans"/>
      <family val="2"/>
    </font>
    <font>
      <sz val="6"/>
      <color theme="0"/>
      <name val="Fira Sans"/>
      <family val="2"/>
    </font>
    <font>
      <sz val="11"/>
      <name val="Fira Sans"/>
      <family val="2"/>
    </font>
    <font>
      <sz val="7"/>
      <color theme="1"/>
      <name val="Fira Sans"/>
      <family val="2"/>
    </font>
    <font>
      <sz val="10"/>
      <color theme="1"/>
      <name val="Fira Sans"/>
      <family val="2"/>
    </font>
    <font>
      <b/>
      <sz val="16"/>
      <name val="Fira Sans"/>
      <family val="2"/>
    </font>
    <font>
      <sz val="11"/>
      <color rgb="FFFF0000"/>
      <name val="Fira Sans"/>
      <family val="2"/>
    </font>
    <font>
      <sz val="11"/>
      <color rgb="FF00B050"/>
      <name val="Fira Sans"/>
      <family val="2"/>
    </font>
    <font>
      <sz val="11"/>
      <color rgb="FFFFC000"/>
      <name val="Fira Sans"/>
      <family val="2"/>
    </font>
    <font>
      <sz val="11"/>
      <color rgb="FFC00000"/>
      <name val="Fira Sans"/>
      <family val="2"/>
    </font>
    <font>
      <sz val="11"/>
      <color rgb="FF00B0F0"/>
      <name val="Fira Sans"/>
      <family val="2"/>
    </font>
    <font>
      <sz val="11"/>
      <color rgb="FF0070C0"/>
      <name val="Fira Sans"/>
      <family val="2"/>
    </font>
    <font>
      <b/>
      <sz val="11"/>
      <color theme="1"/>
      <name val="Fira Sans"/>
      <family val="2"/>
    </font>
    <font>
      <b/>
      <sz val="10"/>
      <color theme="0"/>
      <name val="Fira Sans"/>
      <family val="2"/>
    </font>
    <font>
      <sz val="8"/>
      <name val="Fira Sans"/>
      <family val="2"/>
    </font>
  </fonts>
  <fills count="18">
    <fill>
      <patternFill patternType="none"/>
    </fill>
    <fill>
      <patternFill patternType="gray125"/>
    </fill>
    <fill>
      <patternFill patternType="solid">
        <fgColor theme="4"/>
        <bgColor indexed="64"/>
      </patternFill>
    </fill>
    <fill>
      <patternFill patternType="solid">
        <fgColor theme="9"/>
        <bgColor indexed="64"/>
      </patternFill>
    </fill>
    <fill>
      <patternFill patternType="solid">
        <fgColor theme="2" tint="-0.89999084444715716"/>
        <bgColor indexed="64"/>
      </patternFill>
    </fill>
    <fill>
      <patternFill patternType="solid">
        <fgColor theme="9" tint="-0.499984740745262"/>
        <bgColor indexed="64"/>
      </patternFill>
    </fill>
    <fill>
      <patternFill patternType="solid">
        <fgColor theme="9" tint="0.59999389629810485"/>
        <bgColor indexed="64"/>
      </patternFill>
    </fill>
    <fill>
      <patternFill patternType="solid">
        <fgColor theme="6" tint="-0.499984740745262"/>
        <bgColor indexed="64"/>
      </patternFill>
    </fill>
    <fill>
      <patternFill patternType="solid">
        <fgColor theme="5" tint="-0.249977111117893"/>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9" tint="0.79998168889431442"/>
        <bgColor indexed="64"/>
      </patternFill>
    </fill>
  </fills>
  <borders count="71">
    <border>
      <left/>
      <right/>
      <top/>
      <bottom/>
      <diagonal/>
    </border>
    <border>
      <left/>
      <right/>
      <top style="medium">
        <color indexed="64"/>
      </top>
      <bottom/>
      <diagonal/>
    </border>
    <border>
      <left/>
      <right/>
      <top/>
      <bottom style="medium">
        <color indexed="64"/>
      </bottom>
      <diagonal/>
    </border>
    <border>
      <left style="thin">
        <color indexed="64"/>
      </left>
      <right/>
      <top/>
      <bottom/>
      <diagonal/>
    </border>
    <border>
      <left style="thin">
        <color theme="0"/>
      </left>
      <right style="thin">
        <color theme="0"/>
      </right>
      <top/>
      <bottom/>
      <diagonal/>
    </border>
    <border>
      <left style="thin">
        <color theme="6" tint="-0.499984740745262"/>
      </left>
      <right/>
      <top style="thin">
        <color theme="6" tint="-0.499984740745262"/>
      </top>
      <bottom/>
      <diagonal/>
    </border>
    <border>
      <left/>
      <right/>
      <top style="thin">
        <color theme="6" tint="-0.499984740745262"/>
      </top>
      <bottom/>
      <diagonal/>
    </border>
    <border>
      <left/>
      <right style="thin">
        <color theme="6" tint="-0.499984740745262"/>
      </right>
      <top style="thin">
        <color theme="6" tint="-0.499984740745262"/>
      </top>
      <bottom/>
      <diagonal/>
    </border>
    <border>
      <left style="thin">
        <color theme="6" tint="-0.499984740745262"/>
      </left>
      <right/>
      <top/>
      <bottom/>
      <diagonal/>
    </border>
    <border>
      <left/>
      <right style="thin">
        <color theme="6" tint="-0.499984740745262"/>
      </right>
      <top/>
      <bottom/>
      <diagonal/>
    </border>
    <border>
      <left style="thin">
        <color theme="6" tint="-0.499984740745262"/>
      </left>
      <right/>
      <top/>
      <bottom style="thin">
        <color theme="6" tint="-0.499984740745262"/>
      </bottom>
      <diagonal/>
    </border>
    <border>
      <left/>
      <right/>
      <top/>
      <bottom style="thin">
        <color theme="6" tint="-0.499984740745262"/>
      </bottom>
      <diagonal/>
    </border>
    <border>
      <left/>
      <right style="thin">
        <color theme="6" tint="-0.499984740745262"/>
      </right>
      <top/>
      <bottom style="thin">
        <color theme="6"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6" tint="-0.499984740745262"/>
      </left>
      <right/>
      <top style="thin">
        <color indexed="64"/>
      </top>
      <bottom/>
      <diagonal/>
    </border>
    <border>
      <left/>
      <right style="thin">
        <color theme="6" tint="-0.499984740745262"/>
      </right>
      <top style="thin">
        <color indexed="64"/>
      </top>
      <bottom/>
      <diagonal/>
    </border>
    <border>
      <left/>
      <right style="thin">
        <color indexed="64"/>
      </right>
      <top/>
      <bottom style="thin">
        <color theme="6" tint="-0.499984740745262"/>
      </bottom>
      <diagonal/>
    </border>
    <border>
      <left/>
      <right style="thin">
        <color indexed="64"/>
      </right>
      <top style="thin">
        <color theme="6" tint="-0.499984740745262"/>
      </top>
      <bottom/>
      <diagonal/>
    </border>
    <border>
      <left style="thin">
        <color theme="6" tint="-0.499984740745262"/>
      </left>
      <right/>
      <top/>
      <bottom style="thin">
        <color indexed="64"/>
      </bottom>
      <diagonal/>
    </border>
    <border>
      <left style="thin">
        <color theme="9" tint="-0.499984740745262"/>
      </left>
      <right/>
      <top/>
      <bottom/>
      <diagonal/>
    </border>
    <border>
      <left style="thin">
        <color theme="9" tint="-0.499984740745262"/>
      </left>
      <right/>
      <top style="thin">
        <color theme="9" tint="-0.499984740745262"/>
      </top>
      <bottom/>
      <diagonal/>
    </border>
    <border>
      <left/>
      <right/>
      <top style="thin">
        <color theme="9" tint="-0.499984740745262"/>
      </top>
      <bottom/>
      <diagonal/>
    </border>
    <border>
      <left/>
      <right style="thin">
        <color theme="9" tint="-0.499984740745262"/>
      </right>
      <top style="thin">
        <color theme="9" tint="-0.499984740745262"/>
      </top>
      <bottom/>
      <diagonal/>
    </border>
    <border>
      <left/>
      <right style="thin">
        <color theme="9" tint="-0.499984740745262"/>
      </right>
      <top/>
      <bottom/>
      <diagonal/>
    </border>
    <border>
      <left style="thin">
        <color theme="9" tint="-0.499984740745262"/>
      </left>
      <right/>
      <top/>
      <bottom style="thin">
        <color theme="9" tint="-0.499984740745262"/>
      </bottom>
      <diagonal/>
    </border>
    <border>
      <left/>
      <right/>
      <top/>
      <bottom style="thin">
        <color theme="9" tint="-0.499984740745262"/>
      </bottom>
      <diagonal/>
    </border>
    <border>
      <left/>
      <right style="thin">
        <color theme="9" tint="-0.499984740745262"/>
      </right>
      <top/>
      <bottom style="thin">
        <color theme="9" tint="-0.499984740745262"/>
      </bottom>
      <diagonal/>
    </border>
    <border>
      <left style="thin">
        <color theme="9" tint="-0.499984740745262"/>
      </left>
      <right style="thin">
        <color theme="0"/>
      </right>
      <top style="thin">
        <color theme="9" tint="-0.499984740745262"/>
      </top>
      <bottom/>
      <diagonal/>
    </border>
    <border>
      <left style="thin">
        <color theme="0"/>
      </left>
      <right style="thin">
        <color theme="0"/>
      </right>
      <top style="thin">
        <color theme="9" tint="-0.499984740745262"/>
      </top>
      <bottom/>
      <diagonal/>
    </border>
    <border>
      <left style="thin">
        <color theme="9" tint="-0.499984740745262"/>
      </left>
      <right style="thin">
        <color theme="0"/>
      </right>
      <top/>
      <bottom style="thin">
        <color theme="9" tint="-0.499984740745262"/>
      </bottom>
      <diagonal/>
    </border>
    <border>
      <left style="thin">
        <color theme="0"/>
      </left>
      <right style="thin">
        <color theme="0"/>
      </right>
      <top/>
      <bottom style="thin">
        <color theme="9" tint="-0.499984740745262"/>
      </bottom>
      <diagonal/>
    </border>
    <border>
      <left/>
      <right/>
      <top style="thin">
        <color theme="9" tint="0.59999389629810485"/>
      </top>
      <bottom/>
      <diagonal/>
    </border>
    <border>
      <left style="thin">
        <color theme="9" tint="0.59999389629810485"/>
      </left>
      <right/>
      <top/>
      <bottom/>
      <diagonal/>
    </border>
    <border>
      <left style="thin">
        <color theme="0"/>
      </left>
      <right style="thin">
        <color theme="0"/>
      </right>
      <top/>
      <bottom style="thin">
        <color theme="9" tint="0.59999389629810485"/>
      </bottom>
      <diagonal/>
    </border>
    <border>
      <left style="thin">
        <color theme="0"/>
      </left>
      <right style="thin">
        <color theme="9" tint="0.59999389629810485"/>
      </right>
      <top/>
      <bottom style="thin">
        <color theme="9" tint="0.59999389629810485"/>
      </bottom>
      <diagonal/>
    </border>
    <border>
      <left style="thin">
        <color theme="5" tint="-0.499984740745262"/>
      </left>
      <right/>
      <top style="thin">
        <color theme="5" tint="-0.499984740745262"/>
      </top>
      <bottom/>
      <diagonal/>
    </border>
    <border>
      <left/>
      <right/>
      <top style="thin">
        <color theme="5" tint="-0.499984740745262"/>
      </top>
      <bottom/>
      <diagonal/>
    </border>
    <border>
      <left/>
      <right style="thin">
        <color theme="5" tint="-0.499984740745262"/>
      </right>
      <top style="thin">
        <color theme="5" tint="-0.499984740745262"/>
      </top>
      <bottom/>
      <diagonal/>
    </border>
    <border>
      <left style="thin">
        <color theme="5" tint="-0.499984740745262"/>
      </left>
      <right/>
      <top/>
      <bottom style="thin">
        <color theme="5" tint="-0.499984740745262"/>
      </bottom>
      <diagonal/>
    </border>
    <border>
      <left/>
      <right/>
      <top/>
      <bottom style="thin">
        <color theme="5" tint="-0.499984740745262"/>
      </bottom>
      <diagonal/>
    </border>
    <border>
      <left/>
      <right style="thin">
        <color theme="5" tint="-0.499984740745262"/>
      </right>
      <top/>
      <bottom style="thin">
        <color theme="5" tint="-0.499984740745262"/>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theme="6" tint="-0.499984740745262"/>
      </right>
      <top/>
      <bottom style="thin">
        <color indexed="64"/>
      </bottom>
      <diagonal/>
    </border>
    <border>
      <left/>
      <right style="thin">
        <color theme="0"/>
      </right>
      <top/>
      <bottom style="thin">
        <color theme="9" tint="-0.499984740745262"/>
      </bottom>
      <diagonal/>
    </border>
    <border>
      <left style="thin">
        <color theme="9" tint="-0.499984740745262"/>
      </left>
      <right style="thin">
        <color theme="0"/>
      </right>
      <top/>
      <bottom/>
      <diagonal/>
    </border>
    <border>
      <left style="thin">
        <color theme="4"/>
      </left>
      <right style="thin">
        <color theme="0"/>
      </right>
      <top/>
      <bottom style="thin">
        <color theme="4"/>
      </bottom>
      <diagonal/>
    </border>
    <border>
      <left style="thin">
        <color theme="0"/>
      </left>
      <right style="thin">
        <color theme="0"/>
      </right>
      <top/>
      <bottom style="thin">
        <color theme="4"/>
      </bottom>
      <diagonal/>
    </border>
    <border>
      <left style="thin">
        <color theme="0"/>
      </left>
      <right style="thin">
        <color theme="4"/>
      </right>
      <top/>
      <bottom style="thin">
        <color theme="4"/>
      </bottom>
      <diagonal/>
    </border>
    <border>
      <left style="thin">
        <color indexed="64"/>
      </left>
      <right style="thin">
        <color indexed="64"/>
      </right>
      <top style="thin">
        <color indexed="64"/>
      </top>
      <bottom style="thin">
        <color indexed="64"/>
      </bottom>
      <diagonal/>
    </border>
    <border>
      <left/>
      <right style="thin">
        <color indexed="64"/>
      </right>
      <top style="thin">
        <color theme="5" tint="-0.499984740745262"/>
      </top>
      <bottom/>
      <diagonal/>
    </border>
    <border>
      <left/>
      <right style="thin">
        <color indexed="64"/>
      </right>
      <top/>
      <bottom style="thin">
        <color theme="5" tint="-0.49998474074526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style="thin">
        <color theme="9" tint="0.59999389629810485"/>
      </right>
      <top/>
      <bottom/>
      <diagonal/>
    </border>
    <border>
      <left style="thin">
        <color theme="4"/>
      </left>
      <right style="thin">
        <color theme="0"/>
      </right>
      <top/>
      <bottom/>
      <diagonal/>
    </border>
    <border>
      <left style="thin">
        <color theme="0"/>
      </left>
      <right style="thin">
        <color theme="4"/>
      </right>
      <top/>
      <bottom/>
      <diagonal/>
    </border>
    <border>
      <left/>
      <right style="thin">
        <color theme="0"/>
      </right>
      <top/>
      <bottom/>
      <diagonal/>
    </border>
  </borders>
  <cellStyleXfs count="1">
    <xf numFmtId="0" fontId="0" fillId="0" borderId="0"/>
  </cellStyleXfs>
  <cellXfs count="323">
    <xf numFmtId="0" fontId="0" fillId="0" borderId="0" xfId="0"/>
    <xf numFmtId="0" fontId="0" fillId="0" borderId="0" xfId="0" applyAlignment="1"/>
    <xf numFmtId="0" fontId="0" fillId="0" borderId="0" xfId="0" applyBorder="1" applyAlignment="1">
      <alignment horizontal="center" vertical="center"/>
    </xf>
    <xf numFmtId="0" fontId="0" fillId="12" borderId="0" xfId="0" applyFill="1" applyBorder="1" applyAlignment="1">
      <alignment horizontal="center" vertical="center"/>
    </xf>
    <xf numFmtId="0" fontId="0" fillId="0" borderId="2" xfId="0" applyBorder="1" applyAlignment="1">
      <alignment horizontal="center" vertical="center"/>
    </xf>
    <xf numFmtId="0" fontId="0" fillId="13" borderId="0" xfId="0" applyFill="1" applyBorder="1" applyAlignment="1">
      <alignment horizontal="center"/>
    </xf>
    <xf numFmtId="0" fontId="0" fillId="13" borderId="2" xfId="0" applyFill="1" applyBorder="1" applyAlignment="1">
      <alignment horizontal="center"/>
    </xf>
    <xf numFmtId="0" fontId="0" fillId="15" borderId="0" xfId="0" applyFill="1" applyBorder="1" applyAlignment="1">
      <alignment horizontal="center" vertical="center"/>
    </xf>
    <xf numFmtId="0" fontId="0" fillId="0" borderId="0" xfId="0" quotePrefix="1"/>
    <xf numFmtId="10" fontId="0" fillId="0" borderId="0" xfId="0" applyNumberFormat="1"/>
    <xf numFmtId="2" fontId="0" fillId="0" borderId="0" xfId="0" applyNumberFormat="1"/>
    <xf numFmtId="2" fontId="14" fillId="0" borderId="0" xfId="0" applyNumberFormat="1" applyFont="1"/>
    <xf numFmtId="2" fontId="15" fillId="0" borderId="0" xfId="0" applyNumberFormat="1" applyFont="1"/>
    <xf numFmtId="2" fontId="16" fillId="0" borderId="0" xfId="0" applyNumberFormat="1" applyFont="1"/>
    <xf numFmtId="2" fontId="17" fillId="0" borderId="0" xfId="0" applyNumberFormat="1" applyFont="1"/>
    <xf numFmtId="2" fontId="18" fillId="0" borderId="0" xfId="0" applyNumberFormat="1" applyFont="1"/>
    <xf numFmtId="2" fontId="19" fillId="0" borderId="0" xfId="0" applyNumberFormat="1" applyFont="1"/>
    <xf numFmtId="0" fontId="0" fillId="11" borderId="0" xfId="0" applyFill="1"/>
    <xf numFmtId="0" fontId="0" fillId="16" borderId="0" xfId="0" applyFill="1" applyAlignment="1">
      <alignment horizontal="center"/>
    </xf>
    <xf numFmtId="0" fontId="0" fillId="11" borderId="0" xfId="0" applyFill="1" applyAlignment="1">
      <alignment horizontal="center"/>
    </xf>
    <xf numFmtId="0" fontId="0" fillId="0" borderId="0" xfId="0" applyFill="1"/>
    <xf numFmtId="2" fontId="0" fillId="0" borderId="0" xfId="0" applyNumberFormat="1" applyFill="1"/>
    <xf numFmtId="2" fontId="14" fillId="0" borderId="0" xfId="0" applyNumberFormat="1" applyFont="1" applyFill="1"/>
    <xf numFmtId="2" fontId="15" fillId="0" borderId="0" xfId="0" applyNumberFormat="1" applyFont="1" applyFill="1"/>
    <xf numFmtId="2" fontId="16" fillId="0" borderId="0" xfId="0" applyNumberFormat="1" applyFont="1" applyFill="1"/>
    <xf numFmtId="2" fontId="17" fillId="0" borderId="0" xfId="0" applyNumberFormat="1" applyFont="1" applyFill="1"/>
    <xf numFmtId="2" fontId="18" fillId="0" borderId="0" xfId="0" applyNumberFormat="1" applyFont="1" applyFill="1"/>
    <xf numFmtId="0" fontId="0" fillId="17" borderId="0" xfId="0" applyFill="1"/>
    <xf numFmtId="2" fontId="0" fillId="17" borderId="0" xfId="0" applyNumberFormat="1" applyFill="1"/>
    <xf numFmtId="2" fontId="14" fillId="17" borderId="0" xfId="0" applyNumberFormat="1" applyFont="1" applyFill="1"/>
    <xf numFmtId="2" fontId="15" fillId="17" borderId="0" xfId="0" applyNumberFormat="1" applyFont="1" applyFill="1"/>
    <xf numFmtId="2" fontId="16" fillId="17" borderId="0" xfId="0" applyNumberFormat="1" applyFont="1" applyFill="1"/>
    <xf numFmtId="2" fontId="17" fillId="17" borderId="0" xfId="0" applyNumberFormat="1" applyFont="1" applyFill="1"/>
    <xf numFmtId="2" fontId="18" fillId="17" borderId="0" xfId="0" applyNumberFormat="1" applyFont="1" applyFill="1"/>
    <xf numFmtId="2" fontId="19" fillId="17" borderId="0" xfId="0" applyNumberFormat="1" applyFont="1" applyFill="1"/>
    <xf numFmtId="0" fontId="0" fillId="0" borderId="0" xfId="0" applyFill="1" applyBorder="1" applyAlignment="1">
      <alignment horizontal="center"/>
    </xf>
    <xf numFmtId="0" fontId="0" fillId="14" borderId="62" xfId="0" applyFill="1" applyBorder="1" applyAlignment="1">
      <alignment horizontal="center"/>
    </xf>
    <xf numFmtId="0" fontId="0" fillId="14" borderId="2" xfId="0" applyFill="1" applyBorder="1" applyAlignment="1">
      <alignment horizontal="center"/>
    </xf>
    <xf numFmtId="0" fontId="0" fillId="0" borderId="0" xfId="0" applyBorder="1" applyAlignment="1">
      <alignment horizontal="center"/>
    </xf>
    <xf numFmtId="0" fontId="0" fillId="0" borderId="61" xfId="0" applyBorder="1" applyAlignment="1">
      <alignment horizontal="center"/>
    </xf>
    <xf numFmtId="0" fontId="0" fillId="0" borderId="63" xfId="0" applyBorder="1" applyAlignment="1">
      <alignment horizontal="center"/>
    </xf>
    <xf numFmtId="0" fontId="0" fillId="14" borderId="63" xfId="0" applyFill="1" applyBorder="1" applyAlignment="1">
      <alignment horizontal="center"/>
    </xf>
    <xf numFmtId="0" fontId="0" fillId="0" borderId="61" xfId="0" applyFill="1" applyBorder="1" applyAlignment="1">
      <alignment horizontal="center"/>
    </xf>
    <xf numFmtId="0" fontId="0" fillId="0" borderId="0" xfId="0" applyAlignment="1">
      <alignment horizontal="center"/>
    </xf>
    <xf numFmtId="0" fontId="0" fillId="0" borderId="0" xfId="0" applyFont="1" applyProtection="1">
      <protection locked="0"/>
    </xf>
    <xf numFmtId="0" fontId="0" fillId="0" borderId="0" xfId="0" applyFont="1" applyFill="1" applyAlignment="1" applyProtection="1">
      <alignment vertical="center"/>
    </xf>
    <xf numFmtId="0" fontId="0" fillId="0" borderId="0" xfId="0" applyFont="1" applyFill="1" applyAlignment="1" applyProtection="1"/>
    <xf numFmtId="0" fontId="0" fillId="0" borderId="0" xfId="0" applyFont="1" applyProtection="1"/>
    <xf numFmtId="0" fontId="0" fillId="0" borderId="0" xfId="0" applyFont="1" applyFill="1" applyProtection="1"/>
    <xf numFmtId="0" fontId="0" fillId="0" borderId="0" xfId="0" applyFont="1" applyBorder="1" applyAlignment="1" applyProtection="1"/>
    <xf numFmtId="0" fontId="1" fillId="0" borderId="0" xfId="0" applyFont="1" applyFill="1" applyAlignment="1" applyProtection="1"/>
    <xf numFmtId="0" fontId="2" fillId="0" borderId="0" xfId="0" applyFont="1" applyAlignment="1" applyProtection="1">
      <alignment vertical="center" wrapText="1"/>
    </xf>
    <xf numFmtId="0" fontId="11" fillId="0" borderId="0" xfId="0" applyFont="1" applyBorder="1" applyAlignment="1" applyProtection="1">
      <alignment vertical="center" textRotation="180"/>
    </xf>
    <xf numFmtId="0" fontId="0" fillId="0" borderId="0" xfId="0" applyFont="1" applyBorder="1" applyAlignment="1" applyProtection="1">
      <alignment vertical="center"/>
    </xf>
    <xf numFmtId="0" fontId="10" fillId="0" borderId="0" xfId="0" applyFont="1" applyAlignment="1" applyProtection="1">
      <alignment vertical="center"/>
    </xf>
    <xf numFmtId="0" fontId="0" fillId="11" borderId="64" xfId="0" applyFill="1" applyBorder="1" applyAlignment="1">
      <alignment horizontal="center"/>
    </xf>
    <xf numFmtId="0" fontId="0" fillId="11" borderId="60" xfId="0" applyFill="1" applyBorder="1" applyAlignment="1">
      <alignment horizontal="center"/>
    </xf>
    <xf numFmtId="0" fontId="0" fillId="11" borderId="62" xfId="0" applyFill="1" applyBorder="1" applyAlignment="1">
      <alignment horizontal="center"/>
    </xf>
    <xf numFmtId="0" fontId="0" fillId="6" borderId="64" xfId="0" applyFill="1" applyBorder="1" applyAlignment="1">
      <alignment horizontal="center"/>
    </xf>
    <xf numFmtId="0" fontId="0" fillId="6" borderId="60" xfId="0" applyFill="1" applyBorder="1" applyAlignment="1">
      <alignment horizontal="center"/>
    </xf>
    <xf numFmtId="0" fontId="0" fillId="6" borderId="62" xfId="0" applyFill="1" applyBorder="1" applyAlignment="1">
      <alignment horizontal="center"/>
    </xf>
    <xf numFmtId="0" fontId="0" fillId="14" borderId="60" xfId="0" applyFill="1" applyBorder="1" applyAlignment="1">
      <alignment horizontal="center"/>
    </xf>
    <xf numFmtId="0" fontId="0" fillId="0" borderId="0" xfId="0" applyAlignment="1">
      <alignment horizontal="center"/>
    </xf>
    <xf numFmtId="0" fontId="0" fillId="0" borderId="0" xfId="0" applyFont="1" applyAlignment="1" applyProtection="1"/>
    <xf numFmtId="12" fontId="0" fillId="0" borderId="0" xfId="0" applyNumberFormat="1"/>
    <xf numFmtId="0" fontId="0" fillId="0" borderId="0" xfId="0" applyProtection="1">
      <protection locked="0"/>
    </xf>
    <xf numFmtId="0" fontId="0" fillId="0" borderId="0" xfId="0" applyAlignment="1">
      <alignment horizontal="center"/>
    </xf>
    <xf numFmtId="0" fontId="0" fillId="0" borderId="0" xfId="0" applyFont="1" applyAlignment="1" applyProtection="1">
      <alignment horizontal="center"/>
    </xf>
    <xf numFmtId="0" fontId="0" fillId="0" borderId="55" xfId="0" applyFont="1" applyBorder="1" applyAlignment="1" applyProtection="1">
      <alignment horizontal="center"/>
      <protection locked="0"/>
    </xf>
    <xf numFmtId="0" fontId="0" fillId="0" borderId="13" xfId="0" applyFont="1" applyBorder="1" applyAlignment="1" applyProtection="1">
      <alignment horizontal="center" vertical="center"/>
      <protection locked="0"/>
    </xf>
    <xf numFmtId="0" fontId="0" fillId="0" borderId="14" xfId="0" applyFont="1" applyBorder="1" applyAlignment="1" applyProtection="1">
      <alignment horizontal="center" vertical="center"/>
      <protection locked="0"/>
    </xf>
    <xf numFmtId="0" fontId="0" fillId="0" borderId="15" xfId="0" applyFont="1" applyBorder="1" applyAlignment="1" applyProtection="1">
      <alignment horizontal="center" vertical="center"/>
      <protection locked="0"/>
    </xf>
    <xf numFmtId="0" fontId="0" fillId="0" borderId="3" xfId="0" applyFont="1" applyBorder="1" applyAlignment="1" applyProtection="1">
      <alignment horizontal="center" vertical="center"/>
      <protection locked="0"/>
    </xf>
    <xf numFmtId="0" fontId="0" fillId="0" borderId="0" xfId="0" applyFont="1" applyBorder="1" applyAlignment="1" applyProtection="1">
      <alignment horizontal="center" vertical="center"/>
      <protection locked="0"/>
    </xf>
    <xf numFmtId="0" fontId="0" fillId="0" borderId="16" xfId="0" applyFont="1" applyBorder="1" applyAlignment="1" applyProtection="1">
      <alignment horizontal="center" vertical="center"/>
      <protection locked="0"/>
    </xf>
    <xf numFmtId="0" fontId="0" fillId="0" borderId="17" xfId="0" applyFont="1" applyBorder="1" applyAlignment="1" applyProtection="1">
      <alignment horizontal="center" vertical="center"/>
      <protection locked="0"/>
    </xf>
    <xf numFmtId="0" fontId="0" fillId="0" borderId="18" xfId="0" applyFont="1" applyBorder="1" applyAlignment="1" applyProtection="1">
      <alignment horizontal="center" vertical="center"/>
      <protection locked="0"/>
    </xf>
    <xf numFmtId="0" fontId="0" fillId="0" borderId="19" xfId="0" applyFont="1" applyBorder="1" applyAlignment="1" applyProtection="1">
      <alignment horizontal="center" vertical="center"/>
      <protection locked="0"/>
    </xf>
    <xf numFmtId="0" fontId="0" fillId="0" borderId="3" xfId="0" applyFont="1" applyBorder="1" applyAlignment="1" applyProtection="1">
      <alignment horizontal="center"/>
      <protection locked="0"/>
    </xf>
    <xf numFmtId="0" fontId="0" fillId="0" borderId="0" xfId="0" applyFont="1" applyBorder="1" applyAlignment="1" applyProtection="1">
      <alignment horizontal="center"/>
      <protection locked="0"/>
    </xf>
    <xf numFmtId="0" fontId="0" fillId="0" borderId="16" xfId="0" applyFont="1" applyBorder="1" applyAlignment="1" applyProtection="1">
      <alignment horizontal="center"/>
      <protection locked="0"/>
    </xf>
    <xf numFmtId="0" fontId="0" fillId="0" borderId="17" xfId="0" applyFont="1" applyBorder="1" applyAlignment="1" applyProtection="1">
      <alignment horizontal="center"/>
      <protection locked="0"/>
    </xf>
    <xf numFmtId="0" fontId="0" fillId="0" borderId="18" xfId="0" applyFont="1" applyBorder="1" applyAlignment="1" applyProtection="1">
      <alignment horizontal="center"/>
      <protection locked="0"/>
    </xf>
    <xf numFmtId="0" fontId="0" fillId="0" borderId="19" xfId="0" applyFont="1" applyBorder="1" applyAlignment="1" applyProtection="1">
      <alignment horizontal="center"/>
      <protection locked="0"/>
    </xf>
    <xf numFmtId="0" fontId="0" fillId="0" borderId="55" xfId="0" applyFont="1" applyFill="1" applyBorder="1" applyAlignment="1" applyProtection="1">
      <alignment horizontal="center" vertical="center"/>
    </xf>
    <xf numFmtId="0" fontId="10" fillId="0" borderId="0" xfId="0" applyFont="1" applyFill="1" applyAlignment="1" applyProtection="1">
      <alignment horizontal="center"/>
    </xf>
    <xf numFmtId="0" fontId="10" fillId="0" borderId="16" xfId="0" applyFont="1" applyFill="1" applyBorder="1" applyAlignment="1" applyProtection="1">
      <alignment horizontal="center"/>
    </xf>
    <xf numFmtId="0" fontId="1" fillId="0" borderId="13" xfId="0" applyFont="1" applyFill="1" applyBorder="1" applyAlignment="1" applyProtection="1">
      <alignment horizontal="left"/>
      <protection locked="0"/>
    </xf>
    <xf numFmtId="0" fontId="1" fillId="0" borderId="14" xfId="0" applyFont="1" applyFill="1" applyBorder="1" applyAlignment="1" applyProtection="1">
      <alignment horizontal="left"/>
      <protection locked="0"/>
    </xf>
    <xf numFmtId="0" fontId="1" fillId="0" borderId="15" xfId="0" applyFont="1" applyFill="1" applyBorder="1" applyAlignment="1" applyProtection="1">
      <alignment horizontal="left"/>
      <protection locked="0"/>
    </xf>
    <xf numFmtId="0" fontId="1" fillId="0" borderId="17" xfId="0" applyFont="1" applyFill="1" applyBorder="1" applyAlignment="1" applyProtection="1">
      <alignment horizontal="left"/>
      <protection locked="0"/>
    </xf>
    <xf numFmtId="0" fontId="1" fillId="0" borderId="18" xfId="0" applyFont="1" applyFill="1" applyBorder="1" applyAlignment="1" applyProtection="1">
      <alignment horizontal="left"/>
      <protection locked="0"/>
    </xf>
    <xf numFmtId="0" fontId="1" fillId="0" borderId="19" xfId="0" applyFont="1" applyFill="1" applyBorder="1" applyAlignment="1" applyProtection="1">
      <alignment horizontal="left"/>
      <protection locked="0"/>
    </xf>
    <xf numFmtId="0" fontId="0" fillId="0" borderId="42" xfId="0" applyFont="1" applyBorder="1" applyAlignment="1" applyProtection="1">
      <alignment horizontal="right"/>
      <protection locked="0"/>
    </xf>
    <xf numFmtId="0" fontId="0" fillId="0" borderId="43" xfId="0" applyFont="1" applyBorder="1" applyAlignment="1" applyProtection="1">
      <alignment horizontal="right"/>
      <protection locked="0"/>
    </xf>
    <xf numFmtId="0" fontId="0" fillId="0" borderId="45" xfId="0" applyFont="1" applyBorder="1" applyAlignment="1" applyProtection="1">
      <alignment horizontal="right"/>
      <protection locked="0"/>
    </xf>
    <xf numFmtId="0" fontId="0" fillId="0" borderId="46" xfId="0" applyFont="1" applyBorder="1" applyAlignment="1" applyProtection="1">
      <alignment horizontal="right"/>
      <protection locked="0"/>
    </xf>
    <xf numFmtId="0" fontId="0" fillId="0" borderId="41" xfId="0" applyFont="1" applyBorder="1" applyAlignment="1" applyProtection="1">
      <alignment horizontal="right"/>
      <protection locked="0"/>
    </xf>
    <xf numFmtId="0" fontId="0" fillId="0" borderId="44" xfId="0" applyFont="1" applyBorder="1" applyAlignment="1" applyProtection="1">
      <alignment horizontal="right"/>
      <protection locked="0"/>
    </xf>
    <xf numFmtId="0" fontId="1" fillId="0" borderId="13" xfId="0" applyFont="1" applyFill="1" applyBorder="1" applyAlignment="1" applyProtection="1">
      <alignment horizontal="center"/>
      <protection locked="0"/>
    </xf>
    <xf numFmtId="0" fontId="1" fillId="0" borderId="14" xfId="0" applyFont="1" applyFill="1" applyBorder="1" applyAlignment="1" applyProtection="1">
      <alignment horizontal="center"/>
      <protection locked="0"/>
    </xf>
    <xf numFmtId="0" fontId="1" fillId="0" borderId="15" xfId="0" applyFont="1" applyFill="1" applyBorder="1" applyAlignment="1" applyProtection="1">
      <alignment horizontal="center"/>
      <protection locked="0"/>
    </xf>
    <xf numFmtId="0" fontId="1" fillId="0" borderId="17" xfId="0" applyFont="1" applyFill="1" applyBorder="1" applyAlignment="1" applyProtection="1">
      <alignment horizontal="center"/>
      <protection locked="0"/>
    </xf>
    <xf numFmtId="0" fontId="1" fillId="0" borderId="18" xfId="0" applyFont="1" applyFill="1" applyBorder="1" applyAlignment="1" applyProtection="1">
      <alignment horizontal="center"/>
      <protection locked="0"/>
    </xf>
    <xf numFmtId="0" fontId="1" fillId="0" borderId="19" xfId="0" applyFont="1" applyFill="1" applyBorder="1" applyAlignment="1" applyProtection="1">
      <alignment horizontal="center"/>
      <protection locked="0"/>
    </xf>
    <xf numFmtId="0" fontId="7" fillId="8" borderId="0" xfId="0" applyFont="1" applyFill="1" applyAlignment="1" applyProtection="1">
      <alignment horizontal="center"/>
      <protection locked="0"/>
    </xf>
    <xf numFmtId="0" fontId="7" fillId="8" borderId="45" xfId="0" applyFont="1" applyFill="1" applyBorder="1" applyAlignment="1" applyProtection="1">
      <alignment horizontal="center"/>
      <protection locked="0"/>
    </xf>
    <xf numFmtId="0" fontId="1" fillId="8" borderId="0" xfId="0" applyFont="1" applyFill="1" applyAlignment="1" applyProtection="1">
      <alignment horizontal="center"/>
      <protection locked="0"/>
    </xf>
    <xf numFmtId="0" fontId="1" fillId="8" borderId="0" xfId="0" applyFont="1" applyFill="1" applyBorder="1" applyAlignment="1" applyProtection="1">
      <alignment horizontal="center"/>
      <protection locked="0"/>
    </xf>
    <xf numFmtId="0" fontId="1" fillId="8" borderId="45" xfId="0" applyFont="1" applyFill="1" applyBorder="1" applyAlignment="1" applyProtection="1">
      <alignment horizontal="center"/>
      <protection locked="0"/>
    </xf>
    <xf numFmtId="0" fontId="0" fillId="0" borderId="41" xfId="0" applyFont="1" applyBorder="1" applyAlignment="1" applyProtection="1">
      <alignment horizontal="left"/>
      <protection locked="0"/>
    </xf>
    <xf numFmtId="0" fontId="0" fillId="0" borderId="42" xfId="0" applyFont="1" applyBorder="1" applyAlignment="1" applyProtection="1">
      <alignment horizontal="left"/>
      <protection locked="0"/>
    </xf>
    <xf numFmtId="0" fontId="0" fillId="0" borderId="56" xfId="0" applyFont="1" applyBorder="1" applyAlignment="1" applyProtection="1">
      <alignment horizontal="left"/>
      <protection locked="0"/>
    </xf>
    <xf numFmtId="0" fontId="0" fillId="0" borderId="44" xfId="0" applyFont="1" applyBorder="1" applyAlignment="1" applyProtection="1">
      <alignment horizontal="left"/>
      <protection locked="0"/>
    </xf>
    <xf numFmtId="0" fontId="0" fillId="0" borderId="45" xfId="0" applyFont="1" applyBorder="1" applyAlignment="1" applyProtection="1">
      <alignment horizontal="left"/>
      <protection locked="0"/>
    </xf>
    <xf numFmtId="0" fontId="0" fillId="0" borderId="57" xfId="0" applyFont="1" applyBorder="1" applyAlignment="1" applyProtection="1">
      <alignment horizontal="left"/>
      <protection locked="0"/>
    </xf>
    <xf numFmtId="0" fontId="0" fillId="0" borderId="55" xfId="0" applyFont="1" applyBorder="1" applyAlignment="1" applyProtection="1">
      <alignment horizontal="center" vertical="center"/>
      <protection locked="0"/>
    </xf>
    <xf numFmtId="0" fontId="0" fillId="0" borderId="0" xfId="0" applyFont="1" applyBorder="1" applyAlignment="1" applyProtection="1">
      <alignment horizontal="center" vertical="center"/>
    </xf>
    <xf numFmtId="0" fontId="7" fillId="7" borderId="0" xfId="0" applyFont="1" applyFill="1" applyBorder="1" applyAlignment="1" applyProtection="1">
      <alignment horizontal="center" vertical="center" textRotation="180" wrapText="1"/>
    </xf>
    <xf numFmtId="0" fontId="0" fillId="0" borderId="55" xfId="0" applyFont="1" applyBorder="1" applyAlignment="1" applyProtection="1">
      <alignment horizontal="center" vertical="center"/>
    </xf>
    <xf numFmtId="0" fontId="0" fillId="0" borderId="47" xfId="0" applyFont="1" applyBorder="1" applyAlignment="1" applyProtection="1">
      <alignment horizontal="center" vertical="center"/>
    </xf>
    <xf numFmtId="0" fontId="0" fillId="0" borderId="55" xfId="0" applyFont="1" applyBorder="1" applyAlignment="1" applyProtection="1">
      <alignment horizontal="center"/>
    </xf>
    <xf numFmtId="0" fontId="0" fillId="0" borderId="47" xfId="0" applyFont="1" applyBorder="1" applyAlignment="1" applyProtection="1">
      <alignment horizontal="center"/>
    </xf>
    <xf numFmtId="0" fontId="0" fillId="0" borderId="5" xfId="0" applyFont="1" applyBorder="1" applyAlignment="1" applyProtection="1">
      <alignment horizontal="left" vertical="center"/>
      <protection locked="0"/>
    </xf>
    <xf numFmtId="0" fontId="0" fillId="0" borderId="6" xfId="0" applyFont="1" applyBorder="1" applyAlignment="1" applyProtection="1">
      <alignment horizontal="left" vertical="center"/>
      <protection locked="0"/>
    </xf>
    <xf numFmtId="0" fontId="0" fillId="0" borderId="10" xfId="0" applyFont="1" applyBorder="1" applyAlignment="1" applyProtection="1">
      <alignment horizontal="left" vertical="center"/>
      <protection locked="0"/>
    </xf>
    <xf numFmtId="0" fontId="0" fillId="0" borderId="11" xfId="0" applyFont="1" applyBorder="1" applyAlignment="1" applyProtection="1">
      <alignment horizontal="left" vertical="center"/>
      <protection locked="0"/>
    </xf>
    <xf numFmtId="0" fontId="0" fillId="0" borderId="6" xfId="0" applyFont="1" applyBorder="1" applyAlignment="1" applyProtection="1">
      <alignment horizontal="center" vertical="center"/>
    </xf>
    <xf numFmtId="0" fontId="0" fillId="0" borderId="23" xfId="0" applyFont="1" applyBorder="1" applyAlignment="1" applyProtection="1">
      <alignment horizontal="center" vertical="center"/>
    </xf>
    <xf numFmtId="0" fontId="0" fillId="0" borderId="16" xfId="0" applyFont="1" applyBorder="1" applyAlignment="1" applyProtection="1">
      <alignment horizontal="center" vertical="center"/>
    </xf>
    <xf numFmtId="0" fontId="0" fillId="0" borderId="18" xfId="0" applyFont="1" applyBorder="1" applyAlignment="1" applyProtection="1">
      <alignment horizontal="center" vertical="center"/>
    </xf>
    <xf numFmtId="0" fontId="0" fillId="0" borderId="19" xfId="0" applyFont="1" applyBorder="1" applyAlignment="1" applyProtection="1">
      <alignment horizontal="center" vertical="center"/>
    </xf>
    <xf numFmtId="0" fontId="0" fillId="0" borderId="24" xfId="0" applyFont="1" applyBorder="1" applyAlignment="1" applyProtection="1">
      <alignment horizontal="left" vertical="center"/>
      <protection locked="0"/>
    </xf>
    <xf numFmtId="0" fontId="0" fillId="0" borderId="18" xfId="0" applyFont="1" applyBorder="1" applyAlignment="1" applyProtection="1">
      <alignment horizontal="left" vertical="center"/>
      <protection locked="0"/>
    </xf>
    <xf numFmtId="0" fontId="12" fillId="0" borderId="55" xfId="0" applyFont="1" applyBorder="1" applyAlignment="1" applyProtection="1">
      <alignment horizontal="center" vertical="center"/>
      <protection locked="0"/>
    </xf>
    <xf numFmtId="0" fontId="7" fillId="7" borderId="6" xfId="0" applyFont="1" applyFill="1" applyBorder="1" applyAlignment="1" applyProtection="1">
      <alignment horizontal="center" vertical="center" textRotation="180" wrapText="1"/>
    </xf>
    <xf numFmtId="0" fontId="7" fillId="7" borderId="18" xfId="0" applyFont="1" applyFill="1" applyBorder="1" applyAlignment="1" applyProtection="1">
      <alignment horizontal="center" vertical="center" textRotation="180" wrapText="1"/>
    </xf>
    <xf numFmtId="0" fontId="2" fillId="0" borderId="3" xfId="0" applyFont="1" applyBorder="1" applyAlignment="1" applyProtection="1">
      <alignment horizontal="center" vertical="center" textRotation="180" wrapText="1"/>
    </xf>
    <xf numFmtId="0" fontId="2" fillId="0" borderId="0" xfId="0" applyFont="1" applyBorder="1" applyAlignment="1" applyProtection="1">
      <alignment horizontal="center" vertical="center" textRotation="180" wrapText="1"/>
    </xf>
    <xf numFmtId="0" fontId="2" fillId="0" borderId="9" xfId="0" applyFont="1" applyBorder="1" applyAlignment="1" applyProtection="1">
      <alignment horizontal="center" vertical="center" textRotation="180" wrapText="1"/>
    </xf>
    <xf numFmtId="0" fontId="2" fillId="0" borderId="17" xfId="0" applyFont="1" applyBorder="1" applyAlignment="1" applyProtection="1">
      <alignment horizontal="center" vertical="center" textRotation="180" wrapText="1"/>
    </xf>
    <xf numFmtId="0" fontId="2" fillId="0" borderId="18" xfId="0" applyFont="1" applyBorder="1" applyAlignment="1" applyProtection="1">
      <alignment horizontal="center" vertical="center" textRotation="180" wrapText="1"/>
    </xf>
    <xf numFmtId="0" fontId="2" fillId="0" borderId="49" xfId="0" applyFont="1" applyBorder="1" applyAlignment="1" applyProtection="1">
      <alignment horizontal="center" vertical="center" textRotation="180" wrapText="1"/>
    </xf>
    <xf numFmtId="0" fontId="0" fillId="0" borderId="20" xfId="0" applyFont="1" applyBorder="1" applyAlignment="1" applyProtection="1">
      <alignment horizontal="center" vertical="center"/>
    </xf>
    <xf numFmtId="0" fontId="0" fillId="0" borderId="14" xfId="0" applyFont="1" applyBorder="1" applyAlignment="1" applyProtection="1">
      <alignment horizontal="center" vertical="center"/>
    </xf>
    <xf numFmtId="0" fontId="0" fillId="0" borderId="21" xfId="0" applyFont="1" applyBorder="1" applyAlignment="1" applyProtection="1">
      <alignment horizontal="center" vertical="center"/>
    </xf>
    <xf numFmtId="0" fontId="0" fillId="0" borderId="8" xfId="0" applyFont="1" applyBorder="1" applyAlignment="1" applyProtection="1">
      <alignment horizontal="center" vertical="center"/>
    </xf>
    <xf numFmtId="0" fontId="0" fillId="0" borderId="9" xfId="0" applyFont="1" applyBorder="1" applyAlignment="1" applyProtection="1">
      <alignment horizontal="center" vertical="center"/>
    </xf>
    <xf numFmtId="0" fontId="0" fillId="0" borderId="10" xfId="0" applyFont="1" applyBorder="1" applyAlignment="1" applyProtection="1">
      <alignment horizontal="center" vertical="center"/>
    </xf>
    <xf numFmtId="0" fontId="0" fillId="0" borderId="11" xfId="0" applyFont="1" applyBorder="1" applyAlignment="1" applyProtection="1">
      <alignment horizontal="center" vertical="center"/>
    </xf>
    <xf numFmtId="0" fontId="0" fillId="0" borderId="12" xfId="0" applyFont="1" applyBorder="1" applyAlignment="1" applyProtection="1">
      <alignment horizontal="center" vertical="center"/>
    </xf>
    <xf numFmtId="0" fontId="0" fillId="0" borderId="20" xfId="0" applyFont="1" applyBorder="1" applyAlignment="1" applyProtection="1">
      <alignment horizontal="center" vertical="center"/>
      <protection locked="0"/>
    </xf>
    <xf numFmtId="0" fontId="0" fillId="0" borderId="8" xfId="0" applyFont="1" applyBorder="1" applyAlignment="1" applyProtection="1">
      <alignment horizontal="center" vertical="center"/>
      <protection locked="0"/>
    </xf>
    <xf numFmtId="0" fontId="0" fillId="0" borderId="10" xfId="0" applyFont="1" applyBorder="1" applyAlignment="1" applyProtection="1">
      <alignment horizontal="center" vertical="center"/>
      <protection locked="0"/>
    </xf>
    <xf numFmtId="0" fontId="0" fillId="0" borderId="11" xfId="0" applyFont="1" applyBorder="1" applyAlignment="1" applyProtection="1">
      <alignment horizontal="center" vertical="center"/>
      <protection locked="0"/>
    </xf>
    <xf numFmtId="0" fontId="0" fillId="0" borderId="22" xfId="0" applyFont="1" applyBorder="1" applyAlignment="1" applyProtection="1">
      <alignment horizontal="center" vertical="center"/>
      <protection locked="0"/>
    </xf>
    <xf numFmtId="0" fontId="2" fillId="0" borderId="55" xfId="0" applyFont="1" applyBorder="1" applyAlignment="1" applyProtection="1">
      <alignment horizontal="center" vertical="center"/>
    </xf>
    <xf numFmtId="0" fontId="7" fillId="7" borderId="7" xfId="0" applyFont="1" applyFill="1" applyBorder="1" applyAlignment="1" applyProtection="1">
      <alignment horizontal="center" vertical="center" textRotation="180" wrapText="1"/>
    </xf>
    <xf numFmtId="0" fontId="7" fillId="7" borderId="9" xfId="0" applyFont="1" applyFill="1" applyBorder="1" applyAlignment="1" applyProtection="1">
      <alignment horizontal="center" vertical="center" textRotation="180" wrapText="1"/>
    </xf>
    <xf numFmtId="0" fontId="7" fillId="7" borderId="11" xfId="0" applyFont="1" applyFill="1" applyBorder="1" applyAlignment="1" applyProtection="1">
      <alignment horizontal="center" vertical="center" textRotation="180" wrapText="1"/>
    </xf>
    <xf numFmtId="0" fontId="7" fillId="7" borderId="12" xfId="0" applyFont="1" applyFill="1" applyBorder="1" applyAlignment="1" applyProtection="1">
      <alignment horizontal="center" vertical="center" textRotation="180" wrapText="1"/>
    </xf>
    <xf numFmtId="0" fontId="0" fillId="0" borderId="5" xfId="0" applyFont="1" applyBorder="1" applyAlignment="1" applyProtection="1">
      <alignment horizontal="center" vertical="center"/>
    </xf>
    <xf numFmtId="0" fontId="0" fillId="0" borderId="7" xfId="0" applyFont="1" applyBorder="1" applyAlignment="1" applyProtection="1">
      <alignment horizontal="center" vertical="center"/>
    </xf>
    <xf numFmtId="0" fontId="0" fillId="0" borderId="22" xfId="0" applyFont="1" applyBorder="1" applyAlignment="1" applyProtection="1">
      <alignment horizontal="center" vertical="center"/>
    </xf>
    <xf numFmtId="0" fontId="0" fillId="0" borderId="21" xfId="0" applyFont="1" applyBorder="1" applyAlignment="1" applyProtection="1">
      <alignment horizontal="center" vertical="center"/>
      <protection locked="0"/>
    </xf>
    <xf numFmtId="0" fontId="0" fillId="0" borderId="9" xfId="0" applyFont="1" applyBorder="1" applyAlignment="1" applyProtection="1">
      <alignment horizontal="center" vertical="center"/>
      <protection locked="0"/>
    </xf>
    <xf numFmtId="0" fontId="0" fillId="0" borderId="12" xfId="0" applyFont="1" applyBorder="1" applyAlignment="1" applyProtection="1">
      <alignment horizontal="center" vertical="center"/>
      <protection locked="0"/>
    </xf>
    <xf numFmtId="0" fontId="0" fillId="0" borderId="8" xfId="0" applyFont="1" applyBorder="1" applyAlignment="1" applyProtection="1">
      <alignment horizontal="left" vertical="center"/>
      <protection locked="0"/>
    </xf>
    <xf numFmtId="0" fontId="0" fillId="0" borderId="0" xfId="0" applyFont="1" applyBorder="1" applyAlignment="1" applyProtection="1">
      <alignment horizontal="left" vertical="center"/>
      <protection locked="0"/>
    </xf>
    <xf numFmtId="0" fontId="0" fillId="0" borderId="14" xfId="0" applyFont="1" applyBorder="1" applyAlignment="1" applyProtection="1">
      <alignment horizontal="center" vertical="center" wrapText="1"/>
    </xf>
    <xf numFmtId="0" fontId="0" fillId="0" borderId="0" xfId="0" applyFont="1" applyAlignment="1" applyProtection="1">
      <alignment horizontal="center" vertical="center" wrapText="1"/>
    </xf>
    <xf numFmtId="0" fontId="11" fillId="0" borderId="14" xfId="0" applyFont="1" applyBorder="1" applyAlignment="1" applyProtection="1">
      <alignment horizontal="center" vertical="center" textRotation="180"/>
    </xf>
    <xf numFmtId="0" fontId="11" fillId="0" borderId="0" xfId="0" applyFont="1" applyAlignment="1" applyProtection="1">
      <alignment horizontal="center" vertical="center" textRotation="180"/>
    </xf>
    <xf numFmtId="0" fontId="0" fillId="0" borderId="13" xfId="0" applyFont="1" applyBorder="1" applyAlignment="1" applyProtection="1">
      <alignment horizontal="center" vertical="center"/>
    </xf>
    <xf numFmtId="0" fontId="0" fillId="0" borderId="15" xfId="0" applyFont="1" applyBorder="1" applyAlignment="1" applyProtection="1">
      <alignment horizontal="center" vertical="center"/>
    </xf>
    <xf numFmtId="0" fontId="0" fillId="0" borderId="3" xfId="0" applyFont="1" applyBorder="1" applyAlignment="1" applyProtection="1">
      <alignment horizontal="center" vertical="center"/>
    </xf>
    <xf numFmtId="0" fontId="0" fillId="0" borderId="17" xfId="0" applyFont="1" applyBorder="1" applyAlignment="1" applyProtection="1">
      <alignment horizontal="center" vertical="center"/>
    </xf>
    <xf numFmtId="0" fontId="11" fillId="0" borderId="14" xfId="0" applyFont="1" applyBorder="1" applyAlignment="1" applyProtection="1">
      <alignment horizontal="center" vertical="center" textRotation="180" wrapText="1"/>
    </xf>
    <xf numFmtId="0" fontId="11" fillId="0" borderId="0" xfId="0" applyFont="1" applyBorder="1" applyAlignment="1" applyProtection="1">
      <alignment horizontal="center" vertical="center" textRotation="180" wrapText="1"/>
    </xf>
    <xf numFmtId="0" fontId="0" fillId="10" borderId="0" xfId="0" applyFont="1" applyFill="1" applyAlignment="1" applyProtection="1">
      <alignment horizontal="right"/>
    </xf>
    <xf numFmtId="0" fontId="0" fillId="0" borderId="13" xfId="0" applyFont="1" applyBorder="1" applyAlignment="1" applyProtection="1">
      <alignment horizontal="center"/>
      <protection locked="0"/>
    </xf>
    <xf numFmtId="0" fontId="0" fillId="0" borderId="14" xfId="0" applyFont="1" applyBorder="1" applyAlignment="1" applyProtection="1">
      <alignment horizontal="center"/>
      <protection locked="0"/>
    </xf>
    <xf numFmtId="0" fontId="0" fillId="0" borderId="15" xfId="0" applyFont="1" applyBorder="1" applyAlignment="1" applyProtection="1">
      <alignment horizontal="center"/>
      <protection locked="0"/>
    </xf>
    <xf numFmtId="0" fontId="0" fillId="10" borderId="0" xfId="0" applyFont="1" applyFill="1" applyAlignment="1" applyProtection="1">
      <alignment horizontal="left"/>
    </xf>
    <xf numFmtId="0" fontId="0" fillId="9" borderId="0" xfId="0" applyFont="1" applyFill="1" applyAlignment="1" applyProtection="1">
      <alignment horizontal="right"/>
    </xf>
    <xf numFmtId="0" fontId="0" fillId="9" borderId="0" xfId="0" applyFont="1" applyFill="1" applyAlignment="1" applyProtection="1">
      <alignment horizontal="left"/>
    </xf>
    <xf numFmtId="0" fontId="10" fillId="0" borderId="55" xfId="0" applyFont="1" applyBorder="1" applyAlignment="1" applyProtection="1">
      <alignment horizontal="center"/>
    </xf>
    <xf numFmtId="0" fontId="9" fillId="5" borderId="0" xfId="0" applyFont="1" applyFill="1" applyAlignment="1" applyProtection="1">
      <alignment horizontal="center" vertical="center" textRotation="180"/>
    </xf>
    <xf numFmtId="0" fontId="9" fillId="5" borderId="0" xfId="0" applyFont="1" applyFill="1" applyBorder="1" applyAlignment="1" applyProtection="1">
      <alignment horizontal="center" vertical="center" textRotation="180"/>
    </xf>
    <xf numFmtId="0" fontId="9" fillId="5" borderId="31" xfId="0" applyFont="1" applyFill="1" applyBorder="1" applyAlignment="1" applyProtection="1">
      <alignment horizontal="center" vertical="center" textRotation="180"/>
    </xf>
    <xf numFmtId="0" fontId="1" fillId="5" borderId="0" xfId="0" applyFont="1" applyFill="1" applyAlignment="1" applyProtection="1">
      <alignment horizontal="center"/>
    </xf>
    <xf numFmtId="0" fontId="1" fillId="5" borderId="0" xfId="0" applyFont="1" applyFill="1" applyBorder="1" applyAlignment="1" applyProtection="1">
      <alignment horizontal="center"/>
    </xf>
    <xf numFmtId="0" fontId="1" fillId="6" borderId="0" xfId="0" applyFont="1" applyFill="1" applyBorder="1" applyAlignment="1" applyProtection="1">
      <alignment horizontal="center"/>
    </xf>
    <xf numFmtId="0" fontId="9" fillId="6" borderId="37" xfId="0" applyFont="1" applyFill="1" applyBorder="1" applyAlignment="1" applyProtection="1">
      <alignment horizontal="center" vertical="center" textRotation="180"/>
    </xf>
    <xf numFmtId="0" fontId="9" fillId="6" borderId="0" xfId="0" applyFont="1" applyFill="1" applyBorder="1" applyAlignment="1" applyProtection="1">
      <alignment horizontal="center" vertical="center" textRotation="180"/>
    </xf>
    <xf numFmtId="0" fontId="1" fillId="6" borderId="37" xfId="0" applyFont="1" applyFill="1" applyBorder="1" applyAlignment="1" applyProtection="1">
      <alignment horizontal="center"/>
    </xf>
    <xf numFmtId="0" fontId="7" fillId="6" borderId="4" xfId="0" applyFont="1" applyFill="1" applyBorder="1" applyAlignment="1" applyProtection="1">
      <alignment horizontal="center" vertical="top"/>
    </xf>
    <xf numFmtId="0" fontId="7" fillId="6" borderId="67" xfId="0" applyFont="1" applyFill="1" applyBorder="1" applyAlignment="1" applyProtection="1">
      <alignment horizontal="center" vertical="top"/>
    </xf>
    <xf numFmtId="0" fontId="7" fillId="6" borderId="39" xfId="0" applyFont="1" applyFill="1" applyBorder="1" applyAlignment="1" applyProtection="1">
      <alignment horizontal="center" vertical="top"/>
    </xf>
    <xf numFmtId="0" fontId="7" fillId="6" borderId="40" xfId="0" applyFont="1" applyFill="1" applyBorder="1" applyAlignment="1" applyProtection="1">
      <alignment horizontal="center" vertical="top"/>
    </xf>
    <xf numFmtId="0" fontId="7" fillId="5" borderId="33" xfId="0" applyFont="1" applyFill="1" applyBorder="1" applyAlignment="1" applyProtection="1">
      <alignment horizontal="center" vertical="top"/>
    </xf>
    <xf numFmtId="0" fontId="7" fillId="5" borderId="34" xfId="0" applyFont="1" applyFill="1" applyBorder="1" applyAlignment="1" applyProtection="1">
      <alignment horizontal="center" vertical="top"/>
    </xf>
    <xf numFmtId="0" fontId="7" fillId="5" borderId="35" xfId="0" applyFont="1" applyFill="1" applyBorder="1" applyAlignment="1" applyProtection="1">
      <alignment horizontal="center" vertical="top"/>
    </xf>
    <xf numFmtId="0" fontId="7" fillId="5" borderId="36" xfId="0" applyFont="1" applyFill="1" applyBorder="1" applyAlignment="1" applyProtection="1">
      <alignment horizontal="center" vertical="top"/>
    </xf>
    <xf numFmtId="0" fontId="7" fillId="5" borderId="34" xfId="0" applyFont="1" applyFill="1" applyBorder="1" applyAlignment="1" applyProtection="1">
      <alignment horizontal="center" vertical="top"/>
      <protection locked="0"/>
    </xf>
    <xf numFmtId="0" fontId="7" fillId="5" borderId="36" xfId="0" applyFont="1" applyFill="1" applyBorder="1" applyAlignment="1" applyProtection="1">
      <alignment horizontal="center" vertical="top"/>
      <protection locked="0"/>
    </xf>
    <xf numFmtId="0" fontId="10" fillId="0" borderId="26" xfId="0" applyFont="1" applyBorder="1" applyAlignment="1" applyProtection="1">
      <alignment horizontal="center"/>
      <protection locked="0"/>
    </xf>
    <xf numFmtId="0" fontId="10" fillId="0" borderId="27" xfId="0" applyFont="1" applyBorder="1" applyAlignment="1" applyProtection="1">
      <alignment horizontal="center"/>
      <protection locked="0"/>
    </xf>
    <xf numFmtId="0" fontId="10" fillId="0" borderId="28" xfId="0" applyFont="1" applyBorder="1" applyAlignment="1" applyProtection="1">
      <alignment horizontal="center"/>
      <protection locked="0"/>
    </xf>
    <xf numFmtId="0" fontId="10" fillId="0" borderId="25" xfId="0" applyFont="1" applyBorder="1" applyAlignment="1" applyProtection="1">
      <alignment horizontal="center"/>
      <protection locked="0"/>
    </xf>
    <xf numFmtId="0" fontId="10" fillId="0" borderId="0" xfId="0" applyFont="1" applyBorder="1" applyAlignment="1" applyProtection="1">
      <alignment horizontal="center"/>
      <protection locked="0"/>
    </xf>
    <xf numFmtId="0" fontId="10" fillId="0" borderId="29" xfId="0" applyFont="1" applyBorder="1" applyAlignment="1" applyProtection="1">
      <alignment horizontal="center"/>
      <protection locked="0"/>
    </xf>
    <xf numFmtId="0" fontId="10" fillId="0" borderId="30" xfId="0" applyFont="1" applyBorder="1" applyAlignment="1" applyProtection="1">
      <alignment horizontal="center"/>
      <protection locked="0"/>
    </xf>
    <xf numFmtId="0" fontId="10" fillId="0" borderId="31" xfId="0" applyFont="1" applyBorder="1" applyAlignment="1" applyProtection="1">
      <alignment horizontal="center"/>
      <protection locked="0"/>
    </xf>
    <xf numFmtId="0" fontId="10" fillId="0" borderId="32" xfId="0" applyFont="1" applyBorder="1" applyAlignment="1" applyProtection="1">
      <alignment horizontal="center"/>
      <protection locked="0"/>
    </xf>
    <xf numFmtId="0" fontId="10" fillId="0" borderId="55" xfId="0" applyFont="1" applyBorder="1" applyAlignment="1" applyProtection="1">
      <alignment horizontal="center"/>
      <protection locked="0"/>
    </xf>
    <xf numFmtId="0" fontId="0" fillId="0" borderId="1" xfId="0" applyFont="1" applyFill="1" applyBorder="1" applyAlignment="1" applyProtection="1">
      <alignment horizontal="center"/>
      <protection locked="0"/>
    </xf>
    <xf numFmtId="0" fontId="0" fillId="0" borderId="0" xfId="0" applyFont="1" applyFill="1" applyBorder="1" applyAlignment="1" applyProtection="1">
      <alignment horizontal="center"/>
      <protection locked="0"/>
    </xf>
    <xf numFmtId="0" fontId="0" fillId="0" borderId="2" xfId="0" applyFont="1" applyFill="1" applyBorder="1" applyAlignment="1" applyProtection="1">
      <alignment horizontal="center"/>
      <protection locked="0"/>
    </xf>
    <xf numFmtId="0" fontId="0" fillId="0" borderId="1" xfId="0" applyFont="1" applyFill="1" applyBorder="1" applyAlignment="1" applyProtection="1">
      <alignment horizontal="center" vertical="center"/>
      <protection locked="0"/>
    </xf>
    <xf numFmtId="0" fontId="0" fillId="0" borderId="0" xfId="0" applyFont="1" applyFill="1" applyBorder="1" applyAlignment="1" applyProtection="1">
      <alignment horizontal="center" vertical="center"/>
      <protection locked="0"/>
    </xf>
    <xf numFmtId="0" fontId="0" fillId="0" borderId="2" xfId="0" applyFont="1" applyFill="1" applyBorder="1" applyAlignment="1" applyProtection="1">
      <alignment horizontal="center" vertical="center"/>
      <protection locked="0"/>
    </xf>
    <xf numFmtId="0" fontId="8" fillId="4" borderId="13" xfId="0" applyFont="1" applyFill="1" applyBorder="1" applyAlignment="1" applyProtection="1">
      <alignment horizontal="center" vertical="center"/>
    </xf>
    <xf numFmtId="0" fontId="8" fillId="4" borderId="14" xfId="0" applyFont="1" applyFill="1" applyBorder="1" applyAlignment="1" applyProtection="1">
      <alignment horizontal="center" vertical="center"/>
    </xf>
    <xf numFmtId="0" fontId="8" fillId="4" borderId="15" xfId="0" applyFont="1" applyFill="1" applyBorder="1" applyAlignment="1" applyProtection="1">
      <alignment horizontal="center" vertical="center"/>
    </xf>
    <xf numFmtId="0" fontId="8" fillId="4" borderId="3" xfId="0" applyFont="1" applyFill="1" applyBorder="1" applyAlignment="1" applyProtection="1">
      <alignment horizontal="center" vertical="center"/>
    </xf>
    <xf numFmtId="0" fontId="8" fillId="4" borderId="0" xfId="0" applyFont="1" applyFill="1" applyBorder="1" applyAlignment="1" applyProtection="1">
      <alignment horizontal="center" vertical="center"/>
    </xf>
    <xf numFmtId="0" fontId="8" fillId="4" borderId="16" xfId="0" applyFont="1" applyFill="1" applyBorder="1" applyAlignment="1" applyProtection="1">
      <alignment horizontal="center" vertical="center"/>
    </xf>
    <xf numFmtId="0" fontId="8" fillId="4" borderId="17" xfId="0" applyFont="1" applyFill="1" applyBorder="1" applyAlignment="1" applyProtection="1">
      <alignment horizontal="center" vertical="center"/>
    </xf>
    <xf numFmtId="0" fontId="8" fillId="4" borderId="18" xfId="0" applyFont="1" applyFill="1" applyBorder="1" applyAlignment="1" applyProtection="1">
      <alignment horizontal="center" vertical="center"/>
    </xf>
    <xf numFmtId="0" fontId="8" fillId="4" borderId="19" xfId="0" applyFont="1" applyFill="1" applyBorder="1" applyAlignment="1" applyProtection="1">
      <alignment horizontal="center" vertical="center"/>
    </xf>
    <xf numFmtId="0" fontId="7" fillId="4" borderId="13" xfId="0" applyFont="1" applyFill="1" applyBorder="1" applyAlignment="1" applyProtection="1">
      <alignment horizontal="center" vertical="center"/>
    </xf>
    <xf numFmtId="0" fontId="7" fillId="4" borderId="14" xfId="0" applyFont="1" applyFill="1" applyBorder="1" applyAlignment="1" applyProtection="1">
      <alignment horizontal="center" vertical="center"/>
    </xf>
    <xf numFmtId="0" fontId="7" fillId="4" borderId="15" xfId="0" applyFont="1" applyFill="1" applyBorder="1" applyAlignment="1" applyProtection="1">
      <alignment horizontal="center" vertical="center"/>
    </xf>
    <xf numFmtId="0" fontId="7" fillId="4" borderId="3" xfId="0" applyFont="1" applyFill="1" applyBorder="1" applyAlignment="1" applyProtection="1">
      <alignment horizontal="center" vertical="center"/>
    </xf>
    <xf numFmtId="0" fontId="7" fillId="4" borderId="0" xfId="0" applyFont="1" applyFill="1" applyBorder="1" applyAlignment="1" applyProtection="1">
      <alignment horizontal="center" vertical="center"/>
    </xf>
    <xf numFmtId="0" fontId="7" fillId="4" borderId="16" xfId="0" applyFont="1" applyFill="1" applyBorder="1" applyAlignment="1" applyProtection="1">
      <alignment horizontal="center" vertical="center"/>
    </xf>
    <xf numFmtId="0" fontId="7" fillId="4" borderId="17" xfId="0" applyFont="1" applyFill="1" applyBorder="1" applyAlignment="1" applyProtection="1">
      <alignment horizontal="center" vertical="center"/>
    </xf>
    <xf numFmtId="0" fontId="7" fillId="4" borderId="18" xfId="0" applyFont="1" applyFill="1" applyBorder="1" applyAlignment="1" applyProtection="1">
      <alignment horizontal="center" vertical="center"/>
    </xf>
    <xf numFmtId="0" fontId="7" fillId="4" borderId="19" xfId="0" applyFont="1" applyFill="1" applyBorder="1" applyAlignment="1" applyProtection="1">
      <alignment horizontal="center" vertical="center"/>
    </xf>
    <xf numFmtId="0" fontId="1" fillId="7" borderId="0" xfId="0" applyFont="1" applyFill="1" applyAlignment="1" applyProtection="1">
      <alignment horizontal="center" vertical="center"/>
    </xf>
    <xf numFmtId="0" fontId="1" fillId="7" borderId="0" xfId="0" applyFont="1" applyFill="1" applyAlignment="1" applyProtection="1">
      <alignment horizontal="left" vertical="center"/>
    </xf>
    <xf numFmtId="0" fontId="1" fillId="7" borderId="18" xfId="0" applyFont="1" applyFill="1" applyBorder="1" applyAlignment="1" applyProtection="1">
      <alignment horizontal="left" vertical="center"/>
    </xf>
    <xf numFmtId="0" fontId="1" fillId="7" borderId="18" xfId="0" applyFont="1" applyFill="1" applyBorder="1" applyAlignment="1" applyProtection="1">
      <alignment horizontal="center" vertical="center"/>
    </xf>
    <xf numFmtId="0" fontId="7" fillId="2" borderId="68" xfId="0" applyFont="1" applyFill="1" applyBorder="1" applyAlignment="1" applyProtection="1">
      <alignment horizontal="center" vertical="top"/>
    </xf>
    <xf numFmtId="0" fontId="7" fillId="2" borderId="4" xfId="0" applyFont="1" applyFill="1" applyBorder="1" applyAlignment="1" applyProtection="1">
      <alignment horizontal="center" vertical="top"/>
    </xf>
    <xf numFmtId="0" fontId="7" fillId="2" borderId="69" xfId="0" applyFont="1" applyFill="1" applyBorder="1" applyAlignment="1" applyProtection="1">
      <alignment horizontal="center" vertical="top"/>
    </xf>
    <xf numFmtId="0" fontId="7" fillId="2" borderId="52" xfId="0" applyFont="1" applyFill="1" applyBorder="1" applyAlignment="1" applyProtection="1">
      <alignment horizontal="center" vertical="top"/>
    </xf>
    <xf numFmtId="0" fontId="7" fillId="2" borderId="53" xfId="0" applyFont="1" applyFill="1" applyBorder="1" applyAlignment="1" applyProtection="1">
      <alignment horizontal="center" vertical="top"/>
    </xf>
    <xf numFmtId="0" fontId="7" fillId="2" borderId="54" xfId="0" applyFont="1" applyFill="1" applyBorder="1" applyAlignment="1" applyProtection="1">
      <alignment horizontal="center" vertical="top"/>
    </xf>
    <xf numFmtId="0" fontId="3" fillId="0" borderId="0" xfId="0" applyFont="1" applyAlignment="1" applyProtection="1">
      <alignment horizontal="center"/>
    </xf>
    <xf numFmtId="0" fontId="4" fillId="0" borderId="0" xfId="0" applyFont="1" applyAlignment="1" applyProtection="1">
      <alignment horizontal="center"/>
    </xf>
    <xf numFmtId="0" fontId="1" fillId="3" borderId="0" xfId="0" applyFont="1" applyFill="1" applyAlignment="1" applyProtection="1">
      <alignment horizontal="center" vertical="center" wrapText="1"/>
    </xf>
    <xf numFmtId="0" fontId="7" fillId="5" borderId="51" xfId="0" applyFont="1" applyFill="1" applyBorder="1" applyAlignment="1" applyProtection="1">
      <alignment horizontal="center" vertical="top"/>
    </xf>
    <xf numFmtId="0" fontId="7" fillId="5" borderId="4" xfId="0" applyFont="1" applyFill="1" applyBorder="1" applyAlignment="1" applyProtection="1">
      <alignment horizontal="center" vertical="top"/>
    </xf>
    <xf numFmtId="0" fontId="10" fillId="0" borderId="55" xfId="0" applyFont="1" applyFill="1" applyBorder="1" applyAlignment="1" applyProtection="1">
      <alignment horizontal="center"/>
      <protection locked="0"/>
    </xf>
    <xf numFmtId="0" fontId="7" fillId="8" borderId="25" xfId="0" applyFont="1" applyFill="1" applyBorder="1" applyAlignment="1" applyProtection="1">
      <alignment horizontal="center" vertical="top"/>
    </xf>
    <xf numFmtId="0" fontId="7" fillId="8" borderId="0" xfId="0" applyFont="1" applyFill="1" applyBorder="1" applyAlignment="1" applyProtection="1">
      <alignment horizontal="center" vertical="top"/>
    </xf>
    <xf numFmtId="0" fontId="7" fillId="8" borderId="70" xfId="0" applyFont="1" applyFill="1" applyBorder="1" applyAlignment="1" applyProtection="1">
      <alignment horizontal="center" vertical="top"/>
    </xf>
    <xf numFmtId="0" fontId="7" fillId="8" borderId="30" xfId="0" applyFont="1" applyFill="1" applyBorder="1" applyAlignment="1" applyProtection="1">
      <alignment horizontal="center" vertical="top"/>
    </xf>
    <xf numFmtId="0" fontId="7" fillId="8" borderId="31" xfId="0" applyFont="1" applyFill="1" applyBorder="1" applyAlignment="1" applyProtection="1">
      <alignment horizontal="center" vertical="top"/>
    </xf>
    <xf numFmtId="0" fontId="7" fillId="8" borderId="50" xfId="0" applyFont="1" applyFill="1" applyBorder="1" applyAlignment="1" applyProtection="1">
      <alignment horizontal="center" vertical="top"/>
    </xf>
    <xf numFmtId="0" fontId="1" fillId="2" borderId="0" xfId="0" applyFont="1" applyFill="1" applyAlignment="1" applyProtection="1">
      <alignment horizontal="center"/>
    </xf>
    <xf numFmtId="0" fontId="1" fillId="2" borderId="0" xfId="0" applyFont="1" applyFill="1" applyBorder="1" applyAlignment="1" applyProtection="1">
      <alignment horizontal="center"/>
    </xf>
    <xf numFmtId="0" fontId="9" fillId="2" borderId="0" xfId="0" applyFont="1" applyFill="1" applyAlignment="1" applyProtection="1">
      <alignment horizontal="center" vertical="center" textRotation="180"/>
    </xf>
    <xf numFmtId="0" fontId="9" fillId="2" borderId="0" xfId="0" applyFont="1" applyFill="1" applyBorder="1" applyAlignment="1" applyProtection="1">
      <alignment horizontal="center" vertical="center" textRotation="180"/>
    </xf>
    <xf numFmtId="0" fontId="7" fillId="8" borderId="51" xfId="0" applyFont="1" applyFill="1" applyBorder="1" applyAlignment="1" applyProtection="1">
      <alignment horizontal="center" vertical="top"/>
    </xf>
    <xf numFmtId="0" fontId="7" fillId="8" borderId="4" xfId="0" applyFont="1" applyFill="1" applyBorder="1" applyAlignment="1" applyProtection="1">
      <alignment horizontal="center" vertical="top"/>
    </xf>
    <xf numFmtId="0" fontId="7" fillId="8" borderId="35" xfId="0" applyFont="1" applyFill="1" applyBorder="1" applyAlignment="1" applyProtection="1">
      <alignment horizontal="center" vertical="top"/>
    </xf>
    <xf numFmtId="0" fontId="7" fillId="8" borderId="36" xfId="0" applyFont="1" applyFill="1" applyBorder="1" applyAlignment="1" applyProtection="1">
      <alignment horizontal="center" vertical="top"/>
    </xf>
    <xf numFmtId="0" fontId="1" fillId="8" borderId="0" xfId="0" applyFont="1" applyFill="1" applyAlignment="1" applyProtection="1">
      <alignment horizontal="center"/>
    </xf>
    <xf numFmtId="0" fontId="1" fillId="8" borderId="0" xfId="0" applyFont="1" applyFill="1" applyBorder="1" applyAlignment="1" applyProtection="1">
      <alignment horizontal="center"/>
    </xf>
    <xf numFmtId="0" fontId="9" fillId="8" borderId="0" xfId="0" applyFont="1" applyFill="1" applyAlignment="1" applyProtection="1">
      <alignment horizontal="center" vertical="center" textRotation="180"/>
    </xf>
    <xf numFmtId="0" fontId="9" fillId="8" borderId="0" xfId="0" applyFont="1" applyFill="1" applyBorder="1" applyAlignment="1" applyProtection="1">
      <alignment horizontal="center" vertical="center" textRotation="180"/>
    </xf>
    <xf numFmtId="0" fontId="3" fillId="0" borderId="0" xfId="0" applyFont="1" applyBorder="1" applyAlignment="1" applyProtection="1">
      <alignment horizontal="center"/>
    </xf>
    <xf numFmtId="0" fontId="4" fillId="0" borderId="0" xfId="0" applyFont="1" applyBorder="1" applyAlignment="1" applyProtection="1">
      <alignment horizontal="center"/>
    </xf>
    <xf numFmtId="0" fontId="2" fillId="0" borderId="14" xfId="0" applyFont="1" applyBorder="1" applyAlignment="1" applyProtection="1">
      <alignment horizontal="center"/>
    </xf>
    <xf numFmtId="0" fontId="2" fillId="0" borderId="0" xfId="0" applyFont="1" applyAlignment="1" applyProtection="1">
      <alignment horizontal="center"/>
    </xf>
    <xf numFmtId="0" fontId="20" fillId="0" borderId="55" xfId="0" applyFont="1" applyBorder="1" applyAlignment="1" applyProtection="1">
      <alignment horizontal="center"/>
      <protection locked="0"/>
    </xf>
    <xf numFmtId="0" fontId="21" fillId="5" borderId="0" xfId="0" applyFont="1" applyFill="1" applyAlignment="1" applyProtection="1">
      <alignment horizontal="center"/>
    </xf>
    <xf numFmtId="0" fontId="21" fillId="5" borderId="0" xfId="0" applyFont="1" applyFill="1" applyBorder="1" applyAlignment="1" applyProtection="1">
      <alignment horizontal="center"/>
    </xf>
    <xf numFmtId="0" fontId="0" fillId="0" borderId="47" xfId="0" applyFont="1" applyBorder="1" applyAlignment="1" applyProtection="1">
      <alignment horizontal="center"/>
      <protection locked="0"/>
    </xf>
    <xf numFmtId="0" fontId="0" fillId="0" borderId="48" xfId="0" applyFont="1" applyBorder="1" applyAlignment="1" applyProtection="1">
      <alignment horizontal="center"/>
      <protection locked="0"/>
    </xf>
    <xf numFmtId="0" fontId="5" fillId="0" borderId="0" xfId="0" applyFont="1" applyBorder="1" applyAlignment="1" applyProtection="1">
      <alignment horizontal="center"/>
    </xf>
    <xf numFmtId="0" fontId="6" fillId="0" borderId="0" xfId="0" applyFont="1" applyBorder="1" applyAlignment="1" applyProtection="1">
      <alignment horizontal="center"/>
    </xf>
    <xf numFmtId="0" fontId="1" fillId="5" borderId="31" xfId="0" applyFont="1" applyFill="1" applyBorder="1" applyAlignment="1" applyProtection="1">
      <alignment horizontal="center"/>
    </xf>
    <xf numFmtId="0" fontId="1" fillId="8" borderId="0" xfId="0" applyFont="1" applyFill="1" applyAlignment="1" applyProtection="1">
      <alignment horizontal="center" vertical="center"/>
    </xf>
    <xf numFmtId="0" fontId="1" fillId="8" borderId="0" xfId="0" applyFont="1" applyFill="1" applyBorder="1" applyAlignment="1" applyProtection="1">
      <alignment horizontal="center" vertical="center"/>
    </xf>
    <xf numFmtId="0" fontId="8" fillId="5" borderId="0" xfId="0" applyFont="1" applyFill="1" applyAlignment="1" applyProtection="1">
      <alignment horizontal="center"/>
    </xf>
    <xf numFmtId="0" fontId="8" fillId="5" borderId="0" xfId="0" applyFont="1" applyFill="1" applyBorder="1" applyAlignment="1" applyProtection="1">
      <alignment horizontal="center"/>
    </xf>
    <xf numFmtId="0" fontId="13" fillId="0" borderId="55" xfId="0" applyFont="1" applyFill="1" applyBorder="1" applyAlignment="1" applyProtection="1">
      <alignment horizontal="center" vertical="center" wrapText="1"/>
      <protection locked="0"/>
    </xf>
    <xf numFmtId="0" fontId="1" fillId="6" borderId="38" xfId="0" applyFont="1" applyFill="1" applyBorder="1" applyAlignment="1" applyProtection="1">
      <alignment horizontal="center"/>
    </xf>
    <xf numFmtId="0" fontId="0" fillId="0" borderId="0" xfId="0" applyAlignment="1">
      <alignment horizontal="center"/>
    </xf>
    <xf numFmtId="0" fontId="0" fillId="16" borderId="0" xfId="0" applyFill="1" applyAlignment="1">
      <alignment horizontal="center"/>
    </xf>
    <xf numFmtId="0" fontId="0" fillId="0" borderId="2" xfId="0" applyBorder="1" applyAlignment="1">
      <alignment horizontal="center"/>
    </xf>
    <xf numFmtId="0" fontId="0" fillId="0" borderId="63" xfId="0" applyBorder="1" applyAlignment="1">
      <alignment horizontal="center"/>
    </xf>
    <xf numFmtId="0" fontId="0" fillId="6" borderId="65" xfId="0" applyFill="1" applyBorder="1" applyAlignment="1">
      <alignment horizontal="center"/>
    </xf>
    <xf numFmtId="0" fontId="0" fillId="6" borderId="66" xfId="0" applyFill="1" applyBorder="1" applyAlignment="1">
      <alignment horizontal="center"/>
    </xf>
    <xf numFmtId="0" fontId="0" fillId="0" borderId="0" xfId="0" applyBorder="1" applyAlignment="1">
      <alignment horizontal="center"/>
    </xf>
    <xf numFmtId="0" fontId="0" fillId="0" borderId="61" xfId="0" applyBorder="1" applyAlignment="1">
      <alignment horizontal="center"/>
    </xf>
    <xf numFmtId="0" fontId="0" fillId="15" borderId="0" xfId="0" applyFill="1" applyBorder="1" applyAlignment="1">
      <alignment horizontal="center"/>
    </xf>
    <xf numFmtId="0" fontId="0" fillId="15" borderId="61" xfId="0" applyFill="1" applyBorder="1" applyAlignment="1">
      <alignment horizontal="center"/>
    </xf>
    <xf numFmtId="0" fontId="0" fillId="14" borderId="58" xfId="0" applyFill="1" applyBorder="1" applyAlignment="1">
      <alignment horizontal="center"/>
    </xf>
    <xf numFmtId="0" fontId="0" fillId="14" borderId="1" xfId="0" applyFill="1" applyBorder="1" applyAlignment="1">
      <alignment horizontal="center"/>
    </xf>
    <xf numFmtId="0" fontId="0" fillId="14" borderId="59" xfId="0" applyFill="1" applyBorder="1" applyAlignment="1">
      <alignment horizontal="center"/>
    </xf>
    <xf numFmtId="0" fontId="0" fillId="11" borderId="65" xfId="0" applyFill="1" applyBorder="1" applyAlignment="1">
      <alignment horizontal="center"/>
    </xf>
    <xf numFmtId="0" fontId="0" fillId="11" borderId="66" xfId="0" applyFill="1" applyBorder="1" applyAlignment="1">
      <alignment horizontal="center"/>
    </xf>
    <xf numFmtId="0" fontId="0" fillId="12" borderId="61" xfId="0" applyFill="1" applyBorder="1" applyAlignment="1">
      <alignment horizontal="center"/>
    </xf>
    <xf numFmtId="0" fontId="0" fillId="0" borderId="41" xfId="0" applyBorder="1" applyAlignment="1">
      <alignment horizontal="left"/>
    </xf>
    <xf numFmtId="0" fontId="0" fillId="0" borderId="42" xfId="0" applyBorder="1" applyAlignment="1">
      <alignment horizontal="left"/>
    </xf>
    <xf numFmtId="0" fontId="0" fillId="0" borderId="56" xfId="0" applyBorder="1" applyAlignment="1">
      <alignment horizontal="left"/>
    </xf>
    <xf numFmtId="0" fontId="0" fillId="0" borderId="44" xfId="0" applyBorder="1" applyAlignment="1">
      <alignment horizontal="left"/>
    </xf>
    <xf numFmtId="0" fontId="0" fillId="0" borderId="45" xfId="0" applyBorder="1" applyAlignment="1">
      <alignment horizontal="left"/>
    </xf>
    <xf numFmtId="0" fontId="0" fillId="0" borderId="57" xfId="0" applyBorder="1" applyAlignment="1">
      <alignment horizontal="left"/>
    </xf>
    <xf numFmtId="0" fontId="0" fillId="0" borderId="55" xfId="0" applyBorder="1" applyAlignment="1">
      <alignment horizontal="center"/>
    </xf>
    <xf numFmtId="0" fontId="0" fillId="0" borderId="42" xfId="0" applyBorder="1" applyAlignment="1">
      <alignment horizontal="right"/>
    </xf>
    <xf numFmtId="0" fontId="0" fillId="0" borderId="43" xfId="0" applyBorder="1" applyAlignment="1">
      <alignment horizontal="right"/>
    </xf>
    <xf numFmtId="0" fontId="0" fillId="0" borderId="45" xfId="0" applyBorder="1" applyAlignment="1">
      <alignment horizontal="right"/>
    </xf>
    <xf numFmtId="0" fontId="0" fillId="0" borderId="46" xfId="0" applyBorder="1" applyAlignment="1">
      <alignment horizontal="right"/>
    </xf>
    <xf numFmtId="0" fontId="0" fillId="0" borderId="45" xfId="0" applyBorder="1" applyAlignment="1">
      <alignment horizontal="center"/>
    </xf>
    <xf numFmtId="0" fontId="0" fillId="0" borderId="18" xfId="0" applyBorder="1" applyAlignment="1">
      <alignment horizontal="center"/>
    </xf>
    <xf numFmtId="0" fontId="0" fillId="0" borderId="41" xfId="0" applyBorder="1" applyAlignment="1">
      <alignment horizontal="right"/>
    </xf>
    <xf numFmtId="0" fontId="0" fillId="0" borderId="44" xfId="0" applyBorder="1" applyAlignment="1">
      <alignment horizontal="right"/>
    </xf>
  </cellXfs>
  <cellStyles count="1">
    <cellStyle name="Normal" xfId="0" builtinId="0"/>
  </cellStyles>
  <dxfs count="27">
    <dxf>
      <numFmt numFmtId="17" formatCode="#\ ?/?"/>
    </dxf>
    <dxf>
      <numFmt numFmtId="17" formatCode="#\ ?/?"/>
    </dxf>
    <dxf>
      <protection locked="0" hidden="0"/>
    </dxf>
    <dxf>
      <protection locked="0" hidden="0"/>
    </dxf>
    <dxf>
      <numFmt numFmtId="17" formatCode="#\ ?/?"/>
    </dxf>
    <dxf>
      <numFmt numFmtId="17" formatCode="#\ ?/?"/>
    </dxf>
    <dxf>
      <numFmt numFmtId="17" formatCode="#\ ?/?"/>
    </dxf>
    <dxf>
      <numFmt numFmtId="17" formatCode="#\ ?/?"/>
    </dxf>
    <dxf>
      <numFmt numFmtId="17" formatCode="#\ ?/?"/>
    </dxf>
    <dxf>
      <numFmt numFmtId="17" formatCode="#\ ?/?"/>
    </dxf>
    <dxf>
      <numFmt numFmtId="17" formatCode="#\ ?/?"/>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protection locked="0" hidden="0"/>
    </dxf>
    <dxf>
      <protection locked="0" hidden="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udzu%20Ringtail%20and%20Timmy%20-%20Th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te"/>
      <sheetName val="Doc"/>
      <sheetName val="Skill Calcs"/>
      <sheetName val="Skill Data"/>
      <sheetName val="Tier Calcs"/>
      <sheetName val="Parameters"/>
      <sheetName val="Rules"/>
    </sheetNames>
    <sheetDataSet>
      <sheetData sheetId="0"/>
      <sheetData sheetId="1">
        <row r="7">
          <cell r="AH7">
            <v>6</v>
          </cell>
        </row>
        <row r="17">
          <cell r="AH17">
            <v>6</v>
          </cell>
          <cell r="AP17">
            <v>8</v>
          </cell>
        </row>
        <row r="27">
          <cell r="AH27">
            <v>6</v>
          </cell>
          <cell r="AP27">
            <v>8</v>
          </cell>
        </row>
        <row r="37">
          <cell r="AH37">
            <v>6</v>
          </cell>
          <cell r="AP37">
            <v>7</v>
          </cell>
        </row>
        <row r="47">
          <cell r="AH47">
            <v>3</v>
          </cell>
        </row>
        <row r="57">
          <cell r="AH57">
            <v>4</v>
          </cell>
        </row>
        <row r="67">
          <cell r="AH67">
            <v>3</v>
          </cell>
        </row>
        <row r="77">
          <cell r="AH77">
            <v>3</v>
          </cell>
          <cell r="AP77">
            <v>8</v>
          </cell>
        </row>
        <row r="87">
          <cell r="AH87">
            <v>3</v>
          </cell>
        </row>
      </sheetData>
      <sheetData sheetId="2">
        <row r="2">
          <cell r="Q2">
            <v>2</v>
          </cell>
        </row>
        <row r="3">
          <cell r="Q3">
            <v>3</v>
          </cell>
        </row>
        <row r="4">
          <cell r="Q4">
            <v>3</v>
          </cell>
        </row>
        <row r="5">
          <cell r="Q5">
            <v>4</v>
          </cell>
        </row>
        <row r="6">
          <cell r="Q6">
            <v>1</v>
          </cell>
        </row>
        <row r="7">
          <cell r="Q7">
            <v>2</v>
          </cell>
        </row>
        <row r="8">
          <cell r="Q8">
            <v>1</v>
          </cell>
        </row>
        <row r="9">
          <cell r="Q9">
            <v>2</v>
          </cell>
        </row>
        <row r="10">
          <cell r="Q10">
            <v>1</v>
          </cell>
        </row>
        <row r="11">
          <cell r="S11">
            <v>136</v>
          </cell>
        </row>
      </sheetData>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EDBAAE-9536-4BFD-84AE-9D3F97831887}" name="_BroadSkillAndAspects" displayName="_BroadSkillAndAspects" ref="F1:G19" totalsRowShown="0" headerRowDxfId="26">
  <autoFilter ref="F1:G19" xr:uid="{CFEDBAAE-9536-4BFD-84AE-9D3F97831887}">
    <filterColumn colId="0" hiddenButton="1"/>
    <filterColumn colId="1" hiddenButton="1"/>
  </autoFilter>
  <sortState xmlns:xlrd2="http://schemas.microsoft.com/office/spreadsheetml/2017/richdata2" ref="F2:G19">
    <sortCondition ref="F1:F19"/>
  </sortState>
  <tableColumns count="2">
    <tableColumn id="1" xr3:uid="{A1615C36-682D-4198-9CED-9A5C72B153FE}" name="Umbrella Skills"/>
    <tableColumn id="2" xr3:uid="{54145917-5FD4-4EF8-8C9A-88FC53BA9AAD}" name="Aspect"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A80C32-308D-496A-BA37-EEE5A0A642FA}" name="Table1" displayName="Table1" ref="J1:R15" totalsRowShown="0">
  <autoFilter ref="J1:R15" xr:uid="{2BA80C32-308D-496A-BA37-EEE5A0A642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E63DDEE-F655-465F-BF85-2088D5201794}" name="Skill" dataDxfId="24"/>
    <tableColumn id="2" xr3:uid="{375B0434-544B-4C11-A662-27641F0401DB}" name="Rank" dataDxfId="23"/>
    <tableColumn id="3" xr3:uid="{55C5F038-5D61-4D88-B4A3-4D482168D6BC}" name="Tier" dataDxfId="22">
      <calculatedColumnFormula array="1">INDEX('Tier Calcs'!$A$33:$N$46,O2,P2)</calculatedColumnFormula>
    </tableColumn>
    <tableColumn id="4" xr3:uid="{222D4B11-0CB3-4973-B036-2539CC9773A3}" name="Target" dataDxfId="21"/>
    <tableColumn id="5" xr3:uid="{9ADE9F9A-4088-4086-92BF-F979AB87AE88}" name="Cost" dataDxfId="20">
      <calculatedColumnFormula>_xlfn.IFNA(LOOKUP(K2,$A$3:$C$14,$C$3:$C$14),"")</calculatedColumnFormula>
    </tableColumn>
    <tableColumn id="6" xr3:uid="{1D157687-B35A-4547-A493-FE0A7002D1F5}" name="SR Idx" dataDxfId="19">
      <calculatedColumnFormula>MATCH(K2,'Tier Calcs'!$A$33:$A$46,0)</calculatedColumnFormula>
    </tableColumn>
    <tableColumn id="7" xr3:uid="{C9A6ABF0-5441-4360-98DB-7CD16865EC38}" name="TN Idx" dataDxfId="18">
      <calculatedColumnFormula>MATCH(M2,'Tier Calcs'!$A$33:$N$33,0)</calculatedColumnFormula>
    </tableColumn>
    <tableColumn id="8" xr3:uid="{BED216F1-D424-4151-B4B3-B12C9E3FAC01}" name="TechCost" dataDxfId="17"/>
    <tableColumn id="9" xr3:uid="{134DDC61-EC25-4DA4-830E-4744AF6C1D38}" name="Override" dataDxf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A2525D-800A-40B0-9F31-8BEFC9F05353}" name="Table3" displayName="Table3" ref="A1:D14" totalsRowShown="0" dataDxfId="15">
  <autoFilter ref="A1:D14" xr:uid="{43A2525D-800A-40B0-9F31-8BEFC9F05353}">
    <filterColumn colId="0" hiddenButton="1"/>
    <filterColumn colId="1" hiddenButton="1"/>
    <filterColumn colId="2" hiddenButton="1"/>
    <filterColumn colId="3" hiddenButton="1"/>
  </autoFilter>
  <tableColumns count="4">
    <tableColumn id="1" xr3:uid="{D4BCA7CB-402A-46A3-9741-794776A275B3}" name="Ct" dataDxfId="14"/>
    <tableColumn id="2" xr3:uid="{C4E0E352-3C6D-4658-972E-6A1DACD32EB6}" name="Rank" dataDxfId="13"/>
    <tableColumn id="3" xr3:uid="{B9912B71-E638-4770-AAF8-4683CAE03F90}" name="Total" dataDxfId="12">
      <calculatedColumnFormula>B2+C1</calculatedColumnFormula>
    </tableColumn>
    <tableColumn id="4" xr3:uid="{E928DEBF-EC69-46E6-B299-FBB08E662280}" name="Title"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D149A2-A45F-4D35-9F01-595F4D42B987}" name="Table4" displayName="Table4" ref="A1:M14" totalsRowShown="0">
  <autoFilter ref="A1:M14" xr:uid="{94D149A2-A45F-4D35-9F01-595F4D42B98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DA9EE433-E9EB-4C5E-B262-BA38DC0FA8D7}" name="Edges"/>
    <tableColumn id="2" xr3:uid="{E541E2B9-55BB-4084-A608-25D56CCFFC37}" name="Potency" dataDxfId="10"/>
    <tableColumn id="3" xr3:uid="{B615FE90-DA08-442B-B1F4-13FB6072FDA7}" name="Area" dataDxfId="9"/>
    <tableColumn id="4" xr3:uid="{0E909103-62C7-4D40-BBC1-D37ABDC32D44}" name="Range" dataDxfId="8"/>
    <tableColumn id="5" xr3:uid="{8B8766ED-FCF0-417C-A7C5-930FD051D31F}" name="Duration" dataDxfId="7"/>
    <tableColumn id="6" xr3:uid="{92CE3A57-49DF-4D84-A6F8-A31A21C3FAF0}" name="Boost" dataDxfId="6"/>
    <tableColumn id="7" xr3:uid="{032EBF9C-F598-483B-863F-5AA5B956E10E}" name="Bolster" dataDxfId="5"/>
    <tableColumn id="8" xr3:uid="{3E4C2EBE-EADC-45EB-B8B8-F8676F7471A4}" name="Enhance" dataDxfId="4"/>
    <tableColumn id="9" xr3:uid="{25EC8C42-C051-46C0-AFA8-0F4B8795C0DE}" name="Sleek"/>
    <tableColumn id="10" xr3:uid="{CCDCFE96-2E86-4ED7-BBCE-EB37CB92265B}" name="Advantages" dataDxfId="3"/>
    <tableColumn id="11" xr3:uid="{E25F7BB6-7B93-4DB7-9707-EA852DA6008F}" name="Disadvantages" dataDxfId="2"/>
    <tableColumn id="12" xr3:uid="{1A7ED0F5-20DF-4206-BF91-D73A080D413E}" name="Cost" dataDxfId="1"/>
    <tableColumn id="13" xr3:uid="{529EE3A5-5FE9-4483-9D3B-C95E10512172}" name="Bulk"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Tw Cen MT-Rockwell">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F3AB8-749A-4DCF-9E99-F8E6DF36D034}">
  <dimension ref="A1:FY100"/>
  <sheetViews>
    <sheetView showGridLines="0" showRowColHeaders="0" showZeros="0" tabSelected="1" zoomScaleNormal="100" workbookViewId="0">
      <selection activeCell="CF17" sqref="CF17:DN18"/>
    </sheetView>
  </sheetViews>
  <sheetFormatPr defaultColWidth="1" defaultRowHeight="6" customHeight="1" x14ac:dyDescent="0.35"/>
  <cols>
    <col min="1" max="211" width="1" style="47" customWidth="1"/>
    <col min="212" max="16384" width="1" style="47"/>
  </cols>
  <sheetData>
    <row r="1" spans="1:123" s="48" customFormat="1" ht="6" customHeight="1" x14ac:dyDescent="0.35">
      <c r="A1" s="231" t="s">
        <v>0</v>
      </c>
      <c r="B1" s="232"/>
      <c r="C1" s="232"/>
      <c r="D1" s="232"/>
      <c r="E1" s="232"/>
      <c r="F1" s="233"/>
      <c r="G1" s="219" t="s">
        <v>206</v>
      </c>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c r="AH1" s="219"/>
      <c r="AI1" s="219"/>
      <c r="AJ1" s="219"/>
      <c r="AK1" s="219"/>
      <c r="AL1" s="219"/>
      <c r="AM1" s="219"/>
      <c r="AN1" s="219"/>
      <c r="AO1" s="219"/>
      <c r="AP1" s="219"/>
      <c r="AQ1" s="219"/>
      <c r="AR1" s="219"/>
      <c r="AS1" s="219"/>
      <c r="AT1" s="219"/>
      <c r="AU1" s="219"/>
      <c r="AV1" s="219"/>
      <c r="AW1" s="219"/>
      <c r="AX1" s="219"/>
      <c r="AY1" s="219"/>
      <c r="AZ1" s="219"/>
      <c r="BA1" s="219"/>
      <c r="BB1" s="219"/>
      <c r="BC1" s="219"/>
      <c r="BD1" s="219"/>
      <c r="BE1" s="219"/>
      <c r="BF1" s="219"/>
      <c r="BG1" s="219"/>
      <c r="BH1" s="219"/>
      <c r="BI1" s="219"/>
      <c r="BJ1" s="231" t="s">
        <v>1</v>
      </c>
      <c r="BK1" s="232"/>
      <c r="BL1" s="232"/>
      <c r="BM1" s="232"/>
      <c r="BN1" s="232"/>
      <c r="BO1" s="232"/>
      <c r="BP1" s="232"/>
      <c r="BQ1" s="233"/>
      <c r="BR1" s="216" t="s">
        <v>207</v>
      </c>
      <c r="BS1" s="216"/>
      <c r="BT1" s="216"/>
      <c r="BU1" s="216"/>
      <c r="BV1" s="216"/>
      <c r="BW1" s="216"/>
      <c r="BX1" s="216"/>
      <c r="BY1" s="216"/>
      <c r="BZ1" s="216"/>
      <c r="CA1" s="216"/>
      <c r="CB1" s="216"/>
      <c r="CC1" s="216"/>
      <c r="CD1" s="216"/>
      <c r="CE1" s="216"/>
      <c r="CF1" s="216"/>
      <c r="CG1" s="216"/>
      <c r="CH1" s="216"/>
      <c r="CI1" s="216"/>
      <c r="CJ1" s="216"/>
      <c r="CK1" s="216"/>
      <c r="CL1" s="216"/>
      <c r="CM1" s="216"/>
      <c r="CN1" s="216"/>
      <c r="CO1" s="216"/>
      <c r="CP1" s="216"/>
      <c r="CQ1" s="216"/>
      <c r="CR1" s="216"/>
      <c r="CS1" s="216"/>
      <c r="CT1" s="216"/>
      <c r="CU1" s="216"/>
      <c r="CV1" s="216"/>
      <c r="CW1" s="216"/>
      <c r="CX1" s="216"/>
      <c r="CY1" s="216"/>
      <c r="CZ1" s="216"/>
      <c r="DA1" s="216"/>
      <c r="DB1" s="216"/>
      <c r="DC1" s="216"/>
      <c r="DD1" s="216"/>
      <c r="DE1" s="216"/>
      <c r="DF1" s="216"/>
      <c r="DG1" s="216"/>
      <c r="DH1" s="216"/>
      <c r="DI1" s="222" t="s">
        <v>2</v>
      </c>
      <c r="DJ1" s="223"/>
      <c r="DK1" s="223"/>
      <c r="DL1" s="223"/>
      <c r="DM1" s="223"/>
      <c r="DN1" s="223"/>
      <c r="DO1" s="223"/>
      <c r="DP1" s="223"/>
      <c r="DQ1" s="223"/>
      <c r="DR1" s="223"/>
      <c r="DS1" s="224"/>
    </row>
    <row r="2" spans="1:123" ht="6" customHeight="1" x14ac:dyDescent="0.35">
      <c r="A2" s="234"/>
      <c r="B2" s="235"/>
      <c r="C2" s="235"/>
      <c r="D2" s="235"/>
      <c r="E2" s="235"/>
      <c r="F2" s="236"/>
      <c r="G2" s="220"/>
      <c r="H2" s="220"/>
      <c r="I2" s="220"/>
      <c r="J2" s="220"/>
      <c r="K2" s="220"/>
      <c r="L2" s="220"/>
      <c r="M2" s="220"/>
      <c r="N2" s="220"/>
      <c r="O2" s="220"/>
      <c r="P2" s="220"/>
      <c r="Q2" s="220"/>
      <c r="R2" s="220"/>
      <c r="S2" s="220"/>
      <c r="T2" s="220"/>
      <c r="U2" s="220"/>
      <c r="V2" s="220"/>
      <c r="W2" s="220"/>
      <c r="X2" s="220"/>
      <c r="Y2" s="220"/>
      <c r="Z2" s="220"/>
      <c r="AA2" s="220"/>
      <c r="AB2" s="220"/>
      <c r="AC2" s="220"/>
      <c r="AD2" s="220"/>
      <c r="AE2" s="220"/>
      <c r="AF2" s="220"/>
      <c r="AG2" s="220"/>
      <c r="AH2" s="220"/>
      <c r="AI2" s="220"/>
      <c r="AJ2" s="220"/>
      <c r="AK2" s="220"/>
      <c r="AL2" s="220"/>
      <c r="AM2" s="220"/>
      <c r="AN2" s="220"/>
      <c r="AO2" s="220"/>
      <c r="AP2" s="220"/>
      <c r="AQ2" s="220"/>
      <c r="AR2" s="220"/>
      <c r="AS2" s="220"/>
      <c r="AT2" s="220"/>
      <c r="AU2" s="220"/>
      <c r="AV2" s="220"/>
      <c r="AW2" s="220"/>
      <c r="AX2" s="220"/>
      <c r="AY2" s="220"/>
      <c r="AZ2" s="220"/>
      <c r="BA2" s="220"/>
      <c r="BB2" s="220"/>
      <c r="BC2" s="220"/>
      <c r="BD2" s="220"/>
      <c r="BE2" s="220"/>
      <c r="BF2" s="220"/>
      <c r="BG2" s="220"/>
      <c r="BH2" s="220"/>
      <c r="BI2" s="220"/>
      <c r="BJ2" s="234"/>
      <c r="BK2" s="235"/>
      <c r="BL2" s="235"/>
      <c r="BM2" s="235"/>
      <c r="BN2" s="235"/>
      <c r="BO2" s="235"/>
      <c r="BP2" s="235"/>
      <c r="BQ2" s="236"/>
      <c r="BR2" s="217"/>
      <c r="BS2" s="217"/>
      <c r="BT2" s="217"/>
      <c r="BU2" s="217"/>
      <c r="BV2" s="217"/>
      <c r="BW2" s="217"/>
      <c r="BX2" s="217"/>
      <c r="BY2" s="217"/>
      <c r="BZ2" s="217"/>
      <c r="CA2" s="217"/>
      <c r="CB2" s="217"/>
      <c r="CC2" s="217"/>
      <c r="CD2" s="217"/>
      <c r="CE2" s="217"/>
      <c r="CF2" s="217"/>
      <c r="CG2" s="217"/>
      <c r="CH2" s="217"/>
      <c r="CI2" s="217"/>
      <c r="CJ2" s="217"/>
      <c r="CK2" s="217"/>
      <c r="CL2" s="217"/>
      <c r="CM2" s="217"/>
      <c r="CN2" s="217"/>
      <c r="CO2" s="217"/>
      <c r="CP2" s="217"/>
      <c r="CQ2" s="217"/>
      <c r="CR2" s="217"/>
      <c r="CS2" s="217"/>
      <c r="CT2" s="217"/>
      <c r="CU2" s="217"/>
      <c r="CV2" s="217"/>
      <c r="CW2" s="217"/>
      <c r="CX2" s="217"/>
      <c r="CY2" s="217"/>
      <c r="CZ2" s="217"/>
      <c r="DA2" s="217"/>
      <c r="DB2" s="217"/>
      <c r="DC2" s="217"/>
      <c r="DD2" s="217"/>
      <c r="DE2" s="217"/>
      <c r="DF2" s="217"/>
      <c r="DG2" s="217"/>
      <c r="DH2" s="217"/>
      <c r="DI2" s="225"/>
      <c r="DJ2" s="226"/>
      <c r="DK2" s="226"/>
      <c r="DL2" s="226"/>
      <c r="DM2" s="226"/>
      <c r="DN2" s="226"/>
      <c r="DO2" s="226"/>
      <c r="DP2" s="226"/>
      <c r="DQ2" s="226"/>
      <c r="DR2" s="226"/>
      <c r="DS2" s="227"/>
    </row>
    <row r="3" spans="1:123" ht="6" customHeight="1" thickBot="1" x14ac:dyDescent="0.4">
      <c r="A3" s="237"/>
      <c r="B3" s="238"/>
      <c r="C3" s="238"/>
      <c r="D3" s="238"/>
      <c r="E3" s="238"/>
      <c r="F3" s="239"/>
      <c r="G3" s="221"/>
      <c r="H3" s="221"/>
      <c r="I3" s="221"/>
      <c r="J3" s="221"/>
      <c r="K3" s="221"/>
      <c r="L3" s="221"/>
      <c r="M3" s="221"/>
      <c r="N3" s="221"/>
      <c r="O3" s="221"/>
      <c r="P3" s="221"/>
      <c r="Q3" s="221"/>
      <c r="R3" s="221"/>
      <c r="S3" s="221"/>
      <c r="T3" s="221"/>
      <c r="U3" s="221"/>
      <c r="V3" s="221"/>
      <c r="W3" s="221"/>
      <c r="X3" s="221"/>
      <c r="Y3" s="221"/>
      <c r="Z3" s="221"/>
      <c r="AA3" s="221"/>
      <c r="AB3" s="221"/>
      <c r="AC3" s="221"/>
      <c r="AD3" s="221"/>
      <c r="AE3" s="221"/>
      <c r="AF3" s="221"/>
      <c r="AG3" s="221"/>
      <c r="AH3" s="221"/>
      <c r="AI3" s="221"/>
      <c r="AJ3" s="221"/>
      <c r="AK3" s="221"/>
      <c r="AL3" s="221"/>
      <c r="AM3" s="221"/>
      <c r="AN3" s="221"/>
      <c r="AO3" s="221"/>
      <c r="AP3" s="221"/>
      <c r="AQ3" s="221"/>
      <c r="AR3" s="221"/>
      <c r="AS3" s="221"/>
      <c r="AT3" s="221"/>
      <c r="AU3" s="221"/>
      <c r="AV3" s="221"/>
      <c r="AW3" s="221"/>
      <c r="AX3" s="221"/>
      <c r="AY3" s="221"/>
      <c r="AZ3" s="221"/>
      <c r="BA3" s="221"/>
      <c r="BB3" s="221"/>
      <c r="BC3" s="221"/>
      <c r="BD3" s="221"/>
      <c r="BE3" s="221"/>
      <c r="BF3" s="221"/>
      <c r="BG3" s="221"/>
      <c r="BH3" s="221"/>
      <c r="BI3" s="221"/>
      <c r="BJ3" s="237"/>
      <c r="BK3" s="238"/>
      <c r="BL3" s="238"/>
      <c r="BM3" s="238"/>
      <c r="BN3" s="238"/>
      <c r="BO3" s="238"/>
      <c r="BP3" s="238"/>
      <c r="BQ3" s="239"/>
      <c r="BR3" s="218"/>
      <c r="BS3" s="218"/>
      <c r="BT3" s="218"/>
      <c r="BU3" s="218"/>
      <c r="BV3" s="218"/>
      <c r="BW3" s="218"/>
      <c r="BX3" s="218"/>
      <c r="BY3" s="218"/>
      <c r="BZ3" s="218"/>
      <c r="CA3" s="218"/>
      <c r="CB3" s="218"/>
      <c r="CC3" s="218"/>
      <c r="CD3" s="218"/>
      <c r="CE3" s="218"/>
      <c r="CF3" s="218"/>
      <c r="CG3" s="218"/>
      <c r="CH3" s="218"/>
      <c r="CI3" s="218"/>
      <c r="CJ3" s="218"/>
      <c r="CK3" s="218"/>
      <c r="CL3" s="218"/>
      <c r="CM3" s="218"/>
      <c r="CN3" s="218"/>
      <c r="CO3" s="218"/>
      <c r="CP3" s="218"/>
      <c r="CQ3" s="218"/>
      <c r="CR3" s="218"/>
      <c r="CS3" s="218"/>
      <c r="CT3" s="218"/>
      <c r="CU3" s="218"/>
      <c r="CV3" s="218"/>
      <c r="CW3" s="218"/>
      <c r="CX3" s="218"/>
      <c r="CY3" s="218"/>
      <c r="CZ3" s="218"/>
      <c r="DA3" s="218"/>
      <c r="DB3" s="218"/>
      <c r="DC3" s="218"/>
      <c r="DD3" s="218"/>
      <c r="DE3" s="218"/>
      <c r="DF3" s="218"/>
      <c r="DG3" s="218"/>
      <c r="DH3" s="218"/>
      <c r="DI3" s="228"/>
      <c r="DJ3" s="229"/>
      <c r="DK3" s="229"/>
      <c r="DL3" s="229"/>
      <c r="DM3" s="229"/>
      <c r="DN3" s="229"/>
      <c r="DO3" s="229"/>
      <c r="DP3" s="229"/>
      <c r="DQ3" s="229"/>
      <c r="DR3" s="229"/>
      <c r="DS3" s="230"/>
    </row>
    <row r="4" spans="1:123" ht="6" customHeight="1" x14ac:dyDescent="0.35">
      <c r="A4" s="45"/>
      <c r="B4" s="45"/>
      <c r="C4" s="45"/>
      <c r="D4" s="45"/>
      <c r="E4" s="45"/>
      <c r="F4" s="45"/>
      <c r="G4" s="45"/>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CC4" s="48"/>
    </row>
    <row r="5" spans="1:123" ht="6" customHeight="1" x14ac:dyDescent="0.35">
      <c r="A5" s="241" t="s">
        <v>166</v>
      </c>
      <c r="B5" s="241"/>
      <c r="C5" s="241"/>
      <c r="D5" s="241"/>
      <c r="E5" s="241"/>
      <c r="F5" s="241"/>
      <c r="G5" s="241"/>
      <c r="H5" s="241"/>
      <c r="I5" s="241"/>
      <c r="J5" s="241"/>
      <c r="K5" s="241"/>
      <c r="L5" s="241"/>
      <c r="M5" s="241"/>
      <c r="N5" s="241"/>
      <c r="O5" s="241"/>
      <c r="P5" s="241"/>
      <c r="Q5" s="241"/>
      <c r="R5" s="241"/>
      <c r="S5" s="241"/>
      <c r="T5" s="241"/>
      <c r="U5" s="241"/>
      <c r="V5" s="241"/>
      <c r="W5" s="241"/>
      <c r="X5" s="241"/>
      <c r="Y5" s="241"/>
      <c r="Z5" s="241"/>
      <c r="AA5" s="241"/>
      <c r="AB5" s="240" t="s">
        <v>72</v>
      </c>
      <c r="AC5" s="240"/>
      <c r="AD5" s="240"/>
      <c r="AE5" s="240"/>
      <c r="AF5" s="240"/>
      <c r="AG5" s="240"/>
      <c r="AH5" s="240" t="s">
        <v>16</v>
      </c>
      <c r="AI5" s="240"/>
      <c r="AJ5" s="240"/>
      <c r="AK5" s="240"/>
      <c r="AL5" s="240" t="s">
        <v>17</v>
      </c>
      <c r="AM5" s="240"/>
      <c r="AN5" s="240"/>
      <c r="AO5" s="240"/>
      <c r="AP5" s="240" t="s">
        <v>15</v>
      </c>
      <c r="AQ5" s="240"/>
      <c r="AR5" s="240"/>
      <c r="AS5" s="240"/>
      <c r="AU5" s="288" t="s">
        <v>167</v>
      </c>
      <c r="AV5" s="288"/>
      <c r="AW5" s="288"/>
      <c r="AX5" s="288"/>
      <c r="AY5" s="288"/>
      <c r="AZ5" s="288" t="s">
        <v>168</v>
      </c>
      <c r="BA5" s="288"/>
      <c r="BB5" s="288"/>
      <c r="BC5" s="288"/>
      <c r="BD5" s="252" t="s">
        <v>4</v>
      </c>
      <c r="BE5" s="252"/>
      <c r="BF5" s="252"/>
      <c r="BG5" s="252"/>
      <c r="BH5" s="252"/>
      <c r="BI5" s="252"/>
      <c r="BJ5" s="252"/>
      <c r="BK5" s="252"/>
      <c r="BL5" s="252"/>
      <c r="BM5" s="252"/>
      <c r="BN5" s="252"/>
      <c r="BO5" s="252"/>
      <c r="BP5" s="252"/>
      <c r="BQ5" s="252"/>
      <c r="BR5" s="252"/>
      <c r="BS5" s="252"/>
      <c r="BT5" s="252"/>
      <c r="BU5" s="252"/>
      <c r="BV5" s="291" t="s">
        <v>169</v>
      </c>
      <c r="BW5" s="192"/>
      <c r="BX5" s="192"/>
      <c r="BY5" s="192"/>
      <c r="BZ5" s="291" t="s">
        <v>170</v>
      </c>
      <c r="CA5" s="192"/>
      <c r="CB5" s="192"/>
      <c r="CC5" s="192"/>
      <c r="CD5" s="192"/>
      <c r="CF5" s="185" t="s">
        <v>230</v>
      </c>
      <c r="CG5" s="185"/>
      <c r="CH5" s="185"/>
      <c r="CI5" s="185"/>
      <c r="CJ5" s="185"/>
      <c r="CK5" s="185"/>
      <c r="CL5" s="185"/>
      <c r="CM5" s="185"/>
      <c r="CN5" s="185"/>
      <c r="CO5" s="185"/>
      <c r="CP5" s="185"/>
      <c r="CQ5" s="185"/>
      <c r="CR5" s="185"/>
      <c r="CS5" s="185"/>
      <c r="CT5" s="185"/>
      <c r="CU5" s="185"/>
      <c r="CV5" s="185"/>
      <c r="CW5" s="185"/>
      <c r="CX5" s="185"/>
      <c r="CY5" s="185"/>
      <c r="CZ5" s="185"/>
      <c r="DA5" s="185"/>
      <c r="DB5" s="185"/>
      <c r="DC5" s="185"/>
      <c r="DD5" s="185"/>
      <c r="DE5" s="185"/>
      <c r="DF5" s="185"/>
      <c r="DG5" s="185"/>
      <c r="DH5" s="185"/>
      <c r="DI5" s="185"/>
      <c r="DJ5" s="185"/>
      <c r="DK5" s="185"/>
      <c r="DL5" s="185"/>
      <c r="DM5" s="185"/>
      <c r="DN5" s="185"/>
      <c r="DO5" s="184" t="s">
        <v>25</v>
      </c>
      <c r="DP5" s="184"/>
      <c r="DQ5" s="184"/>
      <c r="DR5" s="184"/>
      <c r="DS5" s="184"/>
    </row>
    <row r="6" spans="1:123" ht="6" customHeight="1" x14ac:dyDescent="0.35">
      <c r="A6" s="242"/>
      <c r="B6" s="242"/>
      <c r="C6" s="242"/>
      <c r="D6" s="242"/>
      <c r="E6" s="242"/>
      <c r="F6" s="242"/>
      <c r="G6" s="242"/>
      <c r="H6" s="242"/>
      <c r="I6" s="242"/>
      <c r="J6" s="242"/>
      <c r="K6" s="242"/>
      <c r="L6" s="242"/>
      <c r="M6" s="242"/>
      <c r="N6" s="242"/>
      <c r="O6" s="242"/>
      <c r="P6" s="242"/>
      <c r="Q6" s="242"/>
      <c r="R6" s="242"/>
      <c r="S6" s="242"/>
      <c r="T6" s="242"/>
      <c r="U6" s="242"/>
      <c r="V6" s="242"/>
      <c r="W6" s="242"/>
      <c r="X6" s="242"/>
      <c r="Y6" s="242"/>
      <c r="Z6" s="242"/>
      <c r="AA6" s="242"/>
      <c r="AB6" s="243"/>
      <c r="AC6" s="243"/>
      <c r="AD6" s="243"/>
      <c r="AE6" s="243"/>
      <c r="AF6" s="243"/>
      <c r="AG6" s="243"/>
      <c r="AH6" s="240"/>
      <c r="AI6" s="240"/>
      <c r="AJ6" s="240"/>
      <c r="AK6" s="240"/>
      <c r="AL6" s="240"/>
      <c r="AM6" s="240"/>
      <c r="AN6" s="240"/>
      <c r="AO6" s="240"/>
      <c r="AP6" s="240"/>
      <c r="AQ6" s="240"/>
      <c r="AR6" s="240"/>
      <c r="AS6" s="240"/>
      <c r="AU6" s="289"/>
      <c r="AV6" s="289"/>
      <c r="AW6" s="289"/>
      <c r="AX6" s="289"/>
      <c r="AY6" s="289"/>
      <c r="AZ6" s="288"/>
      <c r="BA6" s="288"/>
      <c r="BB6" s="288"/>
      <c r="BC6" s="288"/>
      <c r="BD6" s="252"/>
      <c r="BE6" s="252"/>
      <c r="BF6" s="252"/>
      <c r="BG6" s="252"/>
      <c r="BH6" s="252"/>
      <c r="BI6" s="252"/>
      <c r="BJ6" s="252"/>
      <c r="BK6" s="252"/>
      <c r="BL6" s="252"/>
      <c r="BM6" s="252"/>
      <c r="BN6" s="252"/>
      <c r="BO6" s="252"/>
      <c r="BP6" s="252"/>
      <c r="BQ6" s="252"/>
      <c r="BR6" s="252"/>
      <c r="BS6" s="252"/>
      <c r="BT6" s="252"/>
      <c r="BU6" s="252"/>
      <c r="BV6" s="291"/>
      <c r="BW6" s="192"/>
      <c r="BX6" s="192"/>
      <c r="BY6" s="192"/>
      <c r="BZ6" s="291"/>
      <c r="CA6" s="192"/>
      <c r="CB6" s="192"/>
      <c r="CC6" s="192"/>
      <c r="CD6" s="192"/>
      <c r="CF6" s="185"/>
      <c r="CG6" s="185"/>
      <c r="CH6" s="185"/>
      <c r="CI6" s="185"/>
      <c r="CJ6" s="185"/>
      <c r="CK6" s="185"/>
      <c r="CL6" s="185"/>
      <c r="CM6" s="185"/>
      <c r="CN6" s="185"/>
      <c r="CO6" s="185"/>
      <c r="CP6" s="185"/>
      <c r="CQ6" s="185"/>
      <c r="CR6" s="185"/>
      <c r="CS6" s="185"/>
      <c r="CT6" s="185"/>
      <c r="CU6" s="185"/>
      <c r="CV6" s="185"/>
      <c r="CW6" s="185"/>
      <c r="CX6" s="185"/>
      <c r="CY6" s="185"/>
      <c r="CZ6" s="185"/>
      <c r="DA6" s="185"/>
      <c r="DB6" s="185"/>
      <c r="DC6" s="185"/>
      <c r="DD6" s="185"/>
      <c r="DE6" s="185"/>
      <c r="DF6" s="185"/>
      <c r="DG6" s="185"/>
      <c r="DH6" s="185"/>
      <c r="DI6" s="185"/>
      <c r="DJ6" s="185"/>
      <c r="DK6" s="185"/>
      <c r="DL6" s="185"/>
      <c r="DM6" s="185"/>
      <c r="DN6" s="185"/>
      <c r="DO6" s="184"/>
      <c r="DP6" s="184"/>
      <c r="DQ6" s="184"/>
      <c r="DR6" s="184"/>
      <c r="DS6" s="184"/>
    </row>
    <row r="7" spans="1:123" ht="6" customHeight="1" x14ac:dyDescent="0.35">
      <c r="A7" s="156" t="s">
        <v>18</v>
      </c>
      <c r="B7" s="156"/>
      <c r="C7" s="156"/>
      <c r="D7" s="156"/>
      <c r="E7" s="134" t="s">
        <v>208</v>
      </c>
      <c r="F7" s="134"/>
      <c r="G7" s="134"/>
      <c r="H7" s="134"/>
      <c r="I7" s="134"/>
      <c r="J7" s="134"/>
      <c r="K7" s="134"/>
      <c r="L7" s="134"/>
      <c r="M7" s="134"/>
      <c r="N7" s="134"/>
      <c r="O7" s="134"/>
      <c r="P7" s="134"/>
      <c r="Q7" s="134"/>
      <c r="R7" s="134"/>
      <c r="S7" s="134"/>
      <c r="T7" s="134"/>
      <c r="U7" s="134"/>
      <c r="V7" s="134"/>
      <c r="W7" s="134"/>
      <c r="X7" s="134"/>
      <c r="Y7" s="134"/>
      <c r="Z7" s="134"/>
      <c r="AA7" s="134"/>
      <c r="AB7" s="119" t="str">
        <f>_xlfn.XLOOKUP(E9,BroadSkills,BroadSkillAspects,"",0,1)</f>
        <v>Mind</v>
      </c>
      <c r="AC7" s="119"/>
      <c r="AD7" s="119"/>
      <c r="AE7" s="119"/>
      <c r="AF7" s="119"/>
      <c r="AG7" s="119"/>
      <c r="AH7" s="70">
        <v>6</v>
      </c>
      <c r="AI7" s="70"/>
      <c r="AJ7" s="70"/>
      <c r="AK7" s="164"/>
      <c r="AL7" s="143">
        <f>IF(_ACTR_1&gt;0,_ACTR_1,"")</f>
        <v>2</v>
      </c>
      <c r="AM7" s="144"/>
      <c r="AN7" s="144"/>
      <c r="AO7" s="145"/>
      <c r="AP7" s="151">
        <v>8</v>
      </c>
      <c r="AQ7" s="70"/>
      <c r="AR7" s="70"/>
      <c r="AS7" s="71"/>
      <c r="AU7" s="290">
        <v>1</v>
      </c>
      <c r="AV7" s="290"/>
      <c r="AW7" s="290"/>
      <c r="AX7" s="290"/>
      <c r="AY7" s="290"/>
      <c r="AZ7" s="290">
        <v>1</v>
      </c>
      <c r="BA7" s="290"/>
      <c r="BB7" s="290"/>
      <c r="BC7" s="290"/>
      <c r="BD7" s="252"/>
      <c r="BE7" s="252"/>
      <c r="BF7" s="252"/>
      <c r="BG7" s="252"/>
      <c r="BH7" s="252"/>
      <c r="BI7" s="252"/>
      <c r="BJ7" s="252"/>
      <c r="BK7" s="252"/>
      <c r="BL7" s="252"/>
      <c r="BM7" s="252"/>
      <c r="BN7" s="252"/>
      <c r="BO7" s="252"/>
      <c r="BP7" s="252"/>
      <c r="BQ7" s="252"/>
      <c r="BR7" s="252"/>
      <c r="BS7" s="252"/>
      <c r="BT7" s="252"/>
      <c r="BU7" s="252"/>
      <c r="BV7" s="290">
        <v>2</v>
      </c>
      <c r="BW7" s="290"/>
      <c r="BX7" s="290"/>
      <c r="BY7" s="290"/>
      <c r="BZ7" s="290">
        <v>2</v>
      </c>
      <c r="CA7" s="290"/>
      <c r="CB7" s="290"/>
      <c r="CC7" s="290"/>
      <c r="CD7" s="290"/>
      <c r="CF7" s="180" t="s">
        <v>221</v>
      </c>
      <c r="CG7" s="181"/>
      <c r="CH7" s="181"/>
      <c r="CI7" s="181"/>
      <c r="CJ7" s="181"/>
      <c r="CK7" s="181"/>
      <c r="CL7" s="181"/>
      <c r="CM7" s="181"/>
      <c r="CN7" s="181"/>
      <c r="CO7" s="181"/>
      <c r="CP7" s="181"/>
      <c r="CQ7" s="181"/>
      <c r="CR7" s="181"/>
      <c r="CS7" s="181"/>
      <c r="CT7" s="181"/>
      <c r="CU7" s="181"/>
      <c r="CV7" s="181"/>
      <c r="CW7" s="181"/>
      <c r="CX7" s="181"/>
      <c r="CY7" s="181"/>
      <c r="CZ7" s="181"/>
      <c r="DA7" s="181"/>
      <c r="DB7" s="181"/>
      <c r="DC7" s="181"/>
      <c r="DD7" s="181"/>
      <c r="DE7" s="181"/>
      <c r="DF7" s="181"/>
      <c r="DG7" s="181"/>
      <c r="DH7" s="181"/>
      <c r="DI7" s="181"/>
      <c r="DJ7" s="181"/>
      <c r="DK7" s="181"/>
      <c r="DL7" s="181"/>
      <c r="DM7" s="181"/>
      <c r="DN7" s="182"/>
      <c r="DO7" s="180">
        <v>16</v>
      </c>
      <c r="DP7" s="181"/>
      <c r="DQ7" s="181"/>
      <c r="DR7" s="181"/>
      <c r="DS7" s="182"/>
    </row>
    <row r="8" spans="1:123" ht="6" customHeight="1" x14ac:dyDescent="0.35">
      <c r="A8" s="156"/>
      <c r="B8" s="156"/>
      <c r="C8" s="156"/>
      <c r="D8" s="156"/>
      <c r="E8" s="134"/>
      <c r="F8" s="134"/>
      <c r="G8" s="134"/>
      <c r="H8" s="134"/>
      <c r="I8" s="134"/>
      <c r="J8" s="134"/>
      <c r="K8" s="134"/>
      <c r="L8" s="134"/>
      <c r="M8" s="134"/>
      <c r="N8" s="134"/>
      <c r="O8" s="134"/>
      <c r="P8" s="134"/>
      <c r="Q8" s="134"/>
      <c r="R8" s="134"/>
      <c r="S8" s="134"/>
      <c r="T8" s="134"/>
      <c r="U8" s="134"/>
      <c r="V8" s="134"/>
      <c r="W8" s="134"/>
      <c r="X8" s="134"/>
      <c r="Y8" s="134"/>
      <c r="Z8" s="134"/>
      <c r="AA8" s="134"/>
      <c r="AB8" s="119"/>
      <c r="AC8" s="119"/>
      <c r="AD8" s="119"/>
      <c r="AE8" s="119"/>
      <c r="AF8" s="119"/>
      <c r="AG8" s="119"/>
      <c r="AH8" s="73"/>
      <c r="AI8" s="73"/>
      <c r="AJ8" s="73"/>
      <c r="AK8" s="165"/>
      <c r="AL8" s="146"/>
      <c r="AM8" s="117"/>
      <c r="AN8" s="117"/>
      <c r="AO8" s="147"/>
      <c r="AP8" s="152"/>
      <c r="AQ8" s="73"/>
      <c r="AR8" s="73"/>
      <c r="AS8" s="74"/>
      <c r="AU8" s="290"/>
      <c r="AV8" s="290"/>
      <c r="AW8" s="290"/>
      <c r="AX8" s="290"/>
      <c r="AY8" s="290"/>
      <c r="AZ8" s="290"/>
      <c r="BA8" s="290"/>
      <c r="BB8" s="290"/>
      <c r="BC8" s="290"/>
      <c r="BD8" s="252"/>
      <c r="BE8" s="252"/>
      <c r="BF8" s="252"/>
      <c r="BG8" s="252"/>
      <c r="BH8" s="252"/>
      <c r="BI8" s="252"/>
      <c r="BJ8" s="252"/>
      <c r="BK8" s="252"/>
      <c r="BL8" s="252"/>
      <c r="BM8" s="252"/>
      <c r="BN8" s="252"/>
      <c r="BO8" s="252"/>
      <c r="BP8" s="252"/>
      <c r="BQ8" s="252"/>
      <c r="BR8" s="252"/>
      <c r="BS8" s="252"/>
      <c r="BT8" s="252"/>
      <c r="BU8" s="252"/>
      <c r="BV8" s="290"/>
      <c r="BW8" s="290"/>
      <c r="BX8" s="290"/>
      <c r="BY8" s="290"/>
      <c r="BZ8" s="290"/>
      <c r="CA8" s="290"/>
      <c r="CB8" s="290"/>
      <c r="CC8" s="290"/>
      <c r="CD8" s="290"/>
      <c r="CF8" s="81"/>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c r="DH8" s="82"/>
      <c r="DI8" s="82"/>
      <c r="DJ8" s="82"/>
      <c r="DK8" s="82"/>
      <c r="DL8" s="82"/>
      <c r="DM8" s="82"/>
      <c r="DN8" s="83"/>
      <c r="DO8" s="81"/>
      <c r="DP8" s="82"/>
      <c r="DQ8" s="82"/>
      <c r="DR8" s="82"/>
      <c r="DS8" s="83"/>
    </row>
    <row r="9" spans="1:123" ht="6" customHeight="1" x14ac:dyDescent="0.35">
      <c r="A9" s="156" t="s">
        <v>19</v>
      </c>
      <c r="B9" s="156"/>
      <c r="C9" s="156"/>
      <c r="D9" s="156"/>
      <c r="E9" s="134" t="s">
        <v>44</v>
      </c>
      <c r="F9" s="134"/>
      <c r="G9" s="134"/>
      <c r="H9" s="134"/>
      <c r="I9" s="134"/>
      <c r="J9" s="134"/>
      <c r="K9" s="134"/>
      <c r="L9" s="134"/>
      <c r="M9" s="134"/>
      <c r="N9" s="134"/>
      <c r="O9" s="134"/>
      <c r="P9" s="134"/>
      <c r="Q9" s="134"/>
      <c r="R9" s="134"/>
      <c r="S9" s="134"/>
      <c r="T9" s="134"/>
      <c r="U9" s="134"/>
      <c r="V9" s="134"/>
      <c r="W9" s="134"/>
      <c r="X9" s="134"/>
      <c r="Y9" s="134"/>
      <c r="Z9" s="134"/>
      <c r="AA9" s="134"/>
      <c r="AB9" s="119"/>
      <c r="AC9" s="119"/>
      <c r="AD9" s="119"/>
      <c r="AE9" s="119"/>
      <c r="AF9" s="119"/>
      <c r="AG9" s="119"/>
      <c r="AH9" s="154"/>
      <c r="AI9" s="154"/>
      <c r="AJ9" s="154"/>
      <c r="AK9" s="166"/>
      <c r="AL9" s="148"/>
      <c r="AM9" s="149"/>
      <c r="AN9" s="149"/>
      <c r="AO9" s="150"/>
      <c r="AP9" s="153"/>
      <c r="AQ9" s="154"/>
      <c r="AR9" s="154"/>
      <c r="AS9" s="155"/>
      <c r="AU9" s="290"/>
      <c r="AV9" s="290"/>
      <c r="AW9" s="290"/>
      <c r="AX9" s="290"/>
      <c r="AY9" s="290"/>
      <c r="AZ9" s="290"/>
      <c r="BA9" s="290"/>
      <c r="BB9" s="290"/>
      <c r="BC9" s="290"/>
      <c r="BD9" s="252"/>
      <c r="BE9" s="252"/>
      <c r="BF9" s="252"/>
      <c r="BG9" s="252"/>
      <c r="BH9" s="252"/>
      <c r="BI9" s="252"/>
      <c r="BJ9" s="252"/>
      <c r="BK9" s="252"/>
      <c r="BL9" s="252"/>
      <c r="BM9" s="252"/>
      <c r="BN9" s="252"/>
      <c r="BO9" s="252"/>
      <c r="BP9" s="252"/>
      <c r="BQ9" s="252"/>
      <c r="BR9" s="252"/>
      <c r="BS9" s="252"/>
      <c r="BT9" s="252"/>
      <c r="BU9" s="252"/>
      <c r="BV9" s="290"/>
      <c r="BW9" s="290"/>
      <c r="BX9" s="290"/>
      <c r="BY9" s="290"/>
      <c r="BZ9" s="290"/>
      <c r="CA9" s="290"/>
      <c r="CB9" s="290"/>
      <c r="CC9" s="290"/>
      <c r="CD9" s="290"/>
      <c r="CF9" s="180" t="s">
        <v>222</v>
      </c>
      <c r="CG9" s="181"/>
      <c r="CH9" s="181"/>
      <c r="CI9" s="181"/>
      <c r="CJ9" s="181"/>
      <c r="CK9" s="181"/>
      <c r="CL9" s="181"/>
      <c r="CM9" s="181"/>
      <c r="CN9" s="181"/>
      <c r="CO9" s="181"/>
      <c r="CP9" s="181"/>
      <c r="CQ9" s="181"/>
      <c r="CR9" s="181"/>
      <c r="CS9" s="181"/>
      <c r="CT9" s="181"/>
      <c r="CU9" s="181"/>
      <c r="CV9" s="181"/>
      <c r="CW9" s="181"/>
      <c r="CX9" s="181"/>
      <c r="CY9" s="181"/>
      <c r="CZ9" s="181"/>
      <c r="DA9" s="181"/>
      <c r="DB9" s="181"/>
      <c r="DC9" s="181"/>
      <c r="DD9" s="181"/>
      <c r="DE9" s="181"/>
      <c r="DF9" s="181"/>
      <c r="DG9" s="181"/>
      <c r="DH9" s="181"/>
      <c r="DI9" s="181"/>
      <c r="DJ9" s="181"/>
      <c r="DK9" s="181"/>
      <c r="DL9" s="181"/>
      <c r="DM9" s="181"/>
      <c r="DN9" s="182"/>
      <c r="DO9" s="180">
        <v>8</v>
      </c>
      <c r="DP9" s="181"/>
      <c r="DQ9" s="181"/>
      <c r="DR9" s="181"/>
      <c r="DS9" s="182"/>
    </row>
    <row r="10" spans="1:123" ht="6" customHeight="1" x14ac:dyDescent="0.35">
      <c r="A10" s="156"/>
      <c r="B10" s="156"/>
      <c r="C10" s="156"/>
      <c r="D10" s="156"/>
      <c r="E10" s="134"/>
      <c r="F10" s="134"/>
      <c r="G10" s="134"/>
      <c r="H10" s="134"/>
      <c r="I10" s="134"/>
      <c r="J10" s="134"/>
      <c r="K10" s="134"/>
      <c r="L10" s="134"/>
      <c r="M10" s="134"/>
      <c r="N10" s="134"/>
      <c r="O10" s="134"/>
      <c r="P10" s="134"/>
      <c r="Q10" s="134"/>
      <c r="R10" s="134"/>
      <c r="S10" s="134"/>
      <c r="T10" s="134"/>
      <c r="U10" s="134"/>
      <c r="V10" s="134"/>
      <c r="W10" s="134"/>
      <c r="X10" s="134"/>
      <c r="Y10" s="134"/>
      <c r="Z10" s="134"/>
      <c r="AA10" s="134"/>
      <c r="AB10" s="119"/>
      <c r="AC10" s="119"/>
      <c r="AD10" s="119"/>
      <c r="AE10" s="119"/>
      <c r="AF10" s="119"/>
      <c r="AG10" s="119"/>
      <c r="AH10" s="135" t="s">
        <v>29</v>
      </c>
      <c r="AI10" s="157"/>
      <c r="AJ10" s="161"/>
      <c r="AK10" s="127"/>
      <c r="AL10" s="127"/>
      <c r="AM10" s="162"/>
      <c r="AN10" s="135" t="s">
        <v>21</v>
      </c>
      <c r="AO10" s="157"/>
      <c r="AP10" s="161">
        <f>P11</f>
        <v>0</v>
      </c>
      <c r="AQ10" s="127"/>
      <c r="AR10" s="127"/>
      <c r="AS10" s="128"/>
      <c r="AU10" s="290"/>
      <c r="AV10" s="290"/>
      <c r="AW10" s="290"/>
      <c r="AX10" s="290"/>
      <c r="AY10" s="290"/>
      <c r="AZ10" s="290"/>
      <c r="BA10" s="290"/>
      <c r="BB10" s="290"/>
      <c r="BC10" s="290"/>
      <c r="BD10" s="252"/>
      <c r="BE10" s="252"/>
      <c r="BF10" s="252"/>
      <c r="BG10" s="252"/>
      <c r="BH10" s="252"/>
      <c r="BI10" s="252"/>
      <c r="BJ10" s="252"/>
      <c r="BK10" s="252"/>
      <c r="BL10" s="252"/>
      <c r="BM10" s="252"/>
      <c r="BN10" s="252"/>
      <c r="BO10" s="252"/>
      <c r="BP10" s="252"/>
      <c r="BQ10" s="252"/>
      <c r="BR10" s="252"/>
      <c r="BS10" s="252"/>
      <c r="BT10" s="252"/>
      <c r="BU10" s="252"/>
      <c r="BV10" s="290"/>
      <c r="BW10" s="290"/>
      <c r="BX10" s="290"/>
      <c r="BY10" s="290"/>
      <c r="BZ10" s="290"/>
      <c r="CA10" s="290"/>
      <c r="CB10" s="290"/>
      <c r="CC10" s="290"/>
      <c r="CD10" s="290"/>
      <c r="CF10" s="81"/>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82"/>
      <c r="DG10" s="82"/>
      <c r="DH10" s="82"/>
      <c r="DI10" s="82"/>
      <c r="DJ10" s="82"/>
      <c r="DK10" s="82"/>
      <c r="DL10" s="82"/>
      <c r="DM10" s="82"/>
      <c r="DN10" s="83"/>
      <c r="DO10" s="81"/>
      <c r="DP10" s="82"/>
      <c r="DQ10" s="82"/>
      <c r="DR10" s="82"/>
      <c r="DS10" s="83"/>
    </row>
    <row r="11" spans="1:123" ht="6" customHeight="1" x14ac:dyDescent="0.35">
      <c r="A11" s="137" t="s">
        <v>54</v>
      </c>
      <c r="B11" s="138"/>
      <c r="C11" s="138"/>
      <c r="D11" s="138"/>
      <c r="E11" s="69"/>
      <c r="F11" s="70"/>
      <c r="G11" s="70"/>
      <c r="H11" s="70"/>
      <c r="I11" s="70"/>
      <c r="J11" s="70"/>
      <c r="K11" s="70"/>
      <c r="L11" s="70"/>
      <c r="M11" s="70"/>
      <c r="N11" s="70"/>
      <c r="O11" s="71"/>
      <c r="P11" s="69"/>
      <c r="Q11" s="71"/>
      <c r="R11" s="116">
        <v>0</v>
      </c>
      <c r="S11" s="116"/>
      <c r="T11" s="116"/>
      <c r="U11" s="116"/>
      <c r="V11" s="116"/>
      <c r="W11" s="116"/>
      <c r="X11" s="116"/>
      <c r="Y11" s="116"/>
      <c r="Z11" s="116">
        <v>0</v>
      </c>
      <c r="AA11" s="116"/>
      <c r="AB11" s="116"/>
      <c r="AC11" s="116"/>
      <c r="AD11" s="116"/>
      <c r="AE11" s="116"/>
      <c r="AF11" s="119">
        <f>_AE_CCost_1</f>
        <v>0</v>
      </c>
      <c r="AG11" s="119"/>
      <c r="AH11" s="118"/>
      <c r="AI11" s="158"/>
      <c r="AJ11" s="146"/>
      <c r="AK11" s="117"/>
      <c r="AL11" s="117"/>
      <c r="AM11" s="147"/>
      <c r="AN11" s="118"/>
      <c r="AO11" s="158"/>
      <c r="AP11" s="146"/>
      <c r="AQ11" s="117"/>
      <c r="AR11" s="117"/>
      <c r="AS11" s="129"/>
      <c r="AU11" s="190" t="s">
        <v>6</v>
      </c>
      <c r="AV11" s="190"/>
      <c r="AW11" s="190"/>
      <c r="AX11" s="190"/>
      <c r="AY11" s="190"/>
      <c r="AZ11" s="190"/>
      <c r="BA11" s="190"/>
      <c r="BB11" s="190"/>
      <c r="BC11" s="190"/>
      <c r="BD11" s="190"/>
      <c r="BE11" s="190"/>
      <c r="BF11" s="190"/>
      <c r="BG11" s="187" t="s">
        <v>23</v>
      </c>
      <c r="BH11" s="188"/>
      <c r="BI11" s="186">
        <f>3*(AU7+1)</f>
        <v>6</v>
      </c>
      <c r="BJ11" s="186"/>
      <c r="BK11" s="186"/>
      <c r="BL11" s="186"/>
      <c r="BM11" s="192" t="s">
        <v>7</v>
      </c>
      <c r="BN11" s="192"/>
      <c r="BO11" s="192"/>
      <c r="BP11" s="192"/>
      <c r="BQ11" s="192"/>
      <c r="BR11" s="192"/>
      <c r="BS11" s="192"/>
      <c r="BT11" s="192"/>
      <c r="BU11" s="192"/>
      <c r="BV11" s="192"/>
      <c r="BW11" s="192"/>
      <c r="BX11" s="192"/>
      <c r="BY11" s="193" t="s">
        <v>23</v>
      </c>
      <c r="BZ11" s="193"/>
      <c r="CA11" s="186">
        <f>3*(BZ7+1)</f>
        <v>9</v>
      </c>
      <c r="CB11" s="186"/>
      <c r="CC11" s="186"/>
      <c r="CD11" s="186"/>
      <c r="CE11" s="51"/>
      <c r="CF11" s="180" t="s">
        <v>223</v>
      </c>
      <c r="CG11" s="181"/>
      <c r="CH11" s="181"/>
      <c r="CI11" s="181"/>
      <c r="CJ11" s="181"/>
      <c r="CK11" s="181"/>
      <c r="CL11" s="181"/>
      <c r="CM11" s="181"/>
      <c r="CN11" s="181"/>
      <c r="CO11" s="181"/>
      <c r="CP11" s="181"/>
      <c r="CQ11" s="181"/>
      <c r="CR11" s="181"/>
      <c r="CS11" s="181"/>
      <c r="CT11" s="181"/>
      <c r="CU11" s="181"/>
      <c r="CV11" s="181"/>
      <c r="CW11" s="181"/>
      <c r="CX11" s="181"/>
      <c r="CY11" s="181"/>
      <c r="CZ11" s="181"/>
      <c r="DA11" s="181"/>
      <c r="DB11" s="181"/>
      <c r="DC11" s="181"/>
      <c r="DD11" s="181"/>
      <c r="DE11" s="181"/>
      <c r="DF11" s="181"/>
      <c r="DG11" s="181"/>
      <c r="DH11" s="181"/>
      <c r="DI11" s="181"/>
      <c r="DJ11" s="181"/>
      <c r="DK11" s="181"/>
      <c r="DL11" s="181"/>
      <c r="DM11" s="181"/>
      <c r="DN11" s="182"/>
      <c r="DO11" s="180">
        <v>18</v>
      </c>
      <c r="DP11" s="181"/>
      <c r="DQ11" s="181"/>
      <c r="DR11" s="181"/>
      <c r="DS11" s="182"/>
    </row>
    <row r="12" spans="1:123" ht="6" customHeight="1" x14ac:dyDescent="0.35">
      <c r="A12" s="137"/>
      <c r="B12" s="138"/>
      <c r="C12" s="138"/>
      <c r="D12" s="138"/>
      <c r="E12" s="75"/>
      <c r="F12" s="76"/>
      <c r="G12" s="76"/>
      <c r="H12" s="76"/>
      <c r="I12" s="76"/>
      <c r="J12" s="76"/>
      <c r="K12" s="76"/>
      <c r="L12" s="76"/>
      <c r="M12" s="76"/>
      <c r="N12" s="76"/>
      <c r="O12" s="77"/>
      <c r="P12" s="75"/>
      <c r="Q12" s="77"/>
      <c r="R12" s="116"/>
      <c r="S12" s="116"/>
      <c r="T12" s="116"/>
      <c r="U12" s="116"/>
      <c r="V12" s="116"/>
      <c r="W12" s="116"/>
      <c r="X12" s="116"/>
      <c r="Y12" s="116"/>
      <c r="Z12" s="116"/>
      <c r="AA12" s="116"/>
      <c r="AB12" s="116"/>
      <c r="AC12" s="116"/>
      <c r="AD12" s="116"/>
      <c r="AE12" s="116"/>
      <c r="AF12" s="119"/>
      <c r="AG12" s="119"/>
      <c r="AH12" s="159"/>
      <c r="AI12" s="160"/>
      <c r="AJ12" s="148"/>
      <c r="AK12" s="149"/>
      <c r="AL12" s="149"/>
      <c r="AM12" s="150"/>
      <c r="AN12" s="159"/>
      <c r="AO12" s="160"/>
      <c r="AP12" s="148"/>
      <c r="AQ12" s="149"/>
      <c r="AR12" s="149"/>
      <c r="AS12" s="163"/>
      <c r="AU12" s="190"/>
      <c r="AV12" s="190"/>
      <c r="AW12" s="190"/>
      <c r="AX12" s="190"/>
      <c r="AY12" s="190"/>
      <c r="AZ12" s="190"/>
      <c r="BA12" s="190"/>
      <c r="BB12" s="190"/>
      <c r="BC12" s="190"/>
      <c r="BD12" s="190"/>
      <c r="BE12" s="190"/>
      <c r="BF12" s="190"/>
      <c r="BG12" s="187"/>
      <c r="BH12" s="188"/>
      <c r="BI12" s="186"/>
      <c r="BJ12" s="186"/>
      <c r="BK12" s="186"/>
      <c r="BL12" s="186"/>
      <c r="BM12" s="192"/>
      <c r="BN12" s="192"/>
      <c r="BO12" s="192"/>
      <c r="BP12" s="192"/>
      <c r="BQ12" s="192"/>
      <c r="BR12" s="192"/>
      <c r="BS12" s="192"/>
      <c r="BT12" s="192"/>
      <c r="BU12" s="192"/>
      <c r="BV12" s="192"/>
      <c r="BW12" s="192"/>
      <c r="BX12" s="192"/>
      <c r="BY12" s="194"/>
      <c r="BZ12" s="194"/>
      <c r="CA12" s="186"/>
      <c r="CB12" s="186"/>
      <c r="CC12" s="186"/>
      <c r="CD12" s="186"/>
      <c r="CE12" s="51"/>
      <c r="CF12" s="81"/>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82"/>
      <c r="DG12" s="82"/>
      <c r="DH12" s="82"/>
      <c r="DI12" s="82"/>
      <c r="DJ12" s="82"/>
      <c r="DK12" s="82"/>
      <c r="DL12" s="82"/>
      <c r="DM12" s="82"/>
      <c r="DN12" s="83"/>
      <c r="DO12" s="81"/>
      <c r="DP12" s="82"/>
      <c r="DQ12" s="82"/>
      <c r="DR12" s="82"/>
      <c r="DS12" s="83"/>
    </row>
    <row r="13" spans="1:123" ht="6" customHeight="1" x14ac:dyDescent="0.35">
      <c r="A13" s="137"/>
      <c r="B13" s="138"/>
      <c r="C13" s="138"/>
      <c r="D13" s="139"/>
      <c r="E13" s="167"/>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68"/>
      <c r="AH13" s="124"/>
      <c r="AI13" s="124"/>
      <c r="AJ13" s="124"/>
      <c r="AK13" s="124"/>
      <c r="AL13" s="124"/>
      <c r="AM13" s="135" t="s">
        <v>22</v>
      </c>
      <c r="AN13" s="135"/>
      <c r="AO13" s="135"/>
      <c r="AP13" s="127">
        <f>IFERROR(ATR_1-MAX(A_Bulk_1,AR_Bulk),"")</f>
        <v>2</v>
      </c>
      <c r="AQ13" s="127"/>
      <c r="AR13" s="127"/>
      <c r="AS13" s="128"/>
      <c r="AU13" s="285"/>
      <c r="AV13" s="285"/>
      <c r="AW13" s="285"/>
      <c r="AX13" s="285"/>
      <c r="AY13" s="285"/>
      <c r="AZ13" s="285"/>
      <c r="BA13" s="285"/>
      <c r="BB13" s="285"/>
      <c r="BC13" s="285"/>
      <c r="BD13" s="285"/>
      <c r="BE13" s="285"/>
      <c r="BF13" s="285"/>
      <c r="BG13" s="189"/>
      <c r="BH13" s="189"/>
      <c r="BI13" s="186"/>
      <c r="BJ13" s="186"/>
      <c r="BK13" s="186"/>
      <c r="BL13" s="186"/>
      <c r="BM13" s="192"/>
      <c r="BN13" s="192"/>
      <c r="BO13" s="192"/>
      <c r="BP13" s="192"/>
      <c r="BQ13" s="192"/>
      <c r="BR13" s="192"/>
      <c r="BS13" s="192"/>
      <c r="BT13" s="192"/>
      <c r="BU13" s="192"/>
      <c r="BV13" s="192"/>
      <c r="BW13" s="192"/>
      <c r="BX13" s="192"/>
      <c r="BY13" s="194"/>
      <c r="BZ13" s="194"/>
      <c r="CA13" s="186"/>
      <c r="CB13" s="186"/>
      <c r="CC13" s="186"/>
      <c r="CD13" s="186"/>
      <c r="CE13" s="51"/>
      <c r="CF13" s="180" t="s">
        <v>234</v>
      </c>
      <c r="CG13" s="181"/>
      <c r="CH13" s="181"/>
      <c r="CI13" s="181"/>
      <c r="CJ13" s="181"/>
      <c r="CK13" s="181"/>
      <c r="CL13" s="181"/>
      <c r="CM13" s="181"/>
      <c r="CN13" s="181"/>
      <c r="CO13" s="181"/>
      <c r="CP13" s="181"/>
      <c r="CQ13" s="181"/>
      <c r="CR13" s="181"/>
      <c r="CS13" s="181"/>
      <c r="CT13" s="181"/>
      <c r="CU13" s="181"/>
      <c r="CV13" s="181"/>
      <c r="CW13" s="181"/>
      <c r="CX13" s="181"/>
      <c r="CY13" s="181"/>
      <c r="CZ13" s="181"/>
      <c r="DA13" s="181"/>
      <c r="DB13" s="181"/>
      <c r="DC13" s="181"/>
      <c r="DD13" s="181"/>
      <c r="DE13" s="181"/>
      <c r="DF13" s="181"/>
      <c r="DG13" s="181"/>
      <c r="DH13" s="181"/>
      <c r="DI13" s="181"/>
      <c r="DJ13" s="181"/>
      <c r="DK13" s="181"/>
      <c r="DL13" s="181"/>
      <c r="DM13" s="181"/>
      <c r="DN13" s="182"/>
      <c r="DO13" s="180">
        <v>6</v>
      </c>
      <c r="DP13" s="181"/>
      <c r="DQ13" s="181"/>
      <c r="DR13" s="181"/>
      <c r="DS13" s="182"/>
    </row>
    <row r="14" spans="1:123" ht="6" customHeight="1" x14ac:dyDescent="0.35">
      <c r="A14" s="137"/>
      <c r="B14" s="138"/>
      <c r="C14" s="138"/>
      <c r="D14" s="139"/>
      <c r="E14" s="125"/>
      <c r="F14" s="126"/>
      <c r="G14" s="126"/>
      <c r="H14" s="126"/>
      <c r="I14" s="126"/>
      <c r="J14" s="126"/>
      <c r="K14" s="126"/>
      <c r="L14" s="126"/>
      <c r="M14" s="126"/>
      <c r="N14" s="126"/>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18"/>
      <c r="AN14" s="118"/>
      <c r="AO14" s="118"/>
      <c r="AP14" s="117"/>
      <c r="AQ14" s="117"/>
      <c r="AR14" s="117"/>
      <c r="AS14" s="129"/>
      <c r="AU14" s="206"/>
      <c r="AV14" s="207"/>
      <c r="AW14" s="207"/>
      <c r="AX14" s="207"/>
      <c r="AY14" s="207"/>
      <c r="AZ14" s="207"/>
      <c r="BA14" s="207"/>
      <c r="BB14" s="207"/>
      <c r="BC14" s="208"/>
      <c r="BD14" s="206"/>
      <c r="BE14" s="207"/>
      <c r="BF14" s="207"/>
      <c r="BG14" s="207"/>
      <c r="BH14" s="207"/>
      <c r="BI14" s="210"/>
      <c r="BJ14" s="210"/>
      <c r="BK14" s="210"/>
      <c r="BL14" s="210"/>
      <c r="BM14" s="215"/>
      <c r="BN14" s="215"/>
      <c r="BO14" s="215"/>
      <c r="BP14" s="215"/>
      <c r="BQ14" s="215"/>
      <c r="BR14" s="215"/>
      <c r="BS14" s="215"/>
      <c r="BT14" s="215"/>
      <c r="BU14" s="215"/>
      <c r="BV14" s="215"/>
      <c r="BW14" s="215"/>
      <c r="BX14" s="215"/>
      <c r="BY14" s="215"/>
      <c r="BZ14" s="215"/>
      <c r="CA14" s="215"/>
      <c r="CB14" s="215"/>
      <c r="CC14" s="215"/>
      <c r="CD14" s="215"/>
      <c r="CF14" s="81"/>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82"/>
      <c r="DG14" s="82"/>
      <c r="DH14" s="82"/>
      <c r="DI14" s="82"/>
      <c r="DJ14" s="82"/>
      <c r="DK14" s="82"/>
      <c r="DL14" s="82"/>
      <c r="DM14" s="82"/>
      <c r="DN14" s="83"/>
      <c r="DO14" s="81"/>
      <c r="DP14" s="82"/>
      <c r="DQ14" s="82"/>
      <c r="DR14" s="82"/>
      <c r="DS14" s="83"/>
    </row>
    <row r="15" spans="1:123" ht="6" customHeight="1" x14ac:dyDescent="0.35">
      <c r="A15" s="137"/>
      <c r="B15" s="138"/>
      <c r="C15" s="138"/>
      <c r="D15" s="139"/>
      <c r="E15" s="123" t="s">
        <v>209</v>
      </c>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18"/>
      <c r="AN15" s="118"/>
      <c r="AO15" s="118"/>
      <c r="AP15" s="117"/>
      <c r="AQ15" s="117"/>
      <c r="AR15" s="117"/>
      <c r="AS15" s="129"/>
      <c r="AU15" s="209"/>
      <c r="AV15" s="210"/>
      <c r="AW15" s="210"/>
      <c r="AX15" s="210"/>
      <c r="AY15" s="210"/>
      <c r="AZ15" s="210"/>
      <c r="BA15" s="210"/>
      <c r="BB15" s="210"/>
      <c r="BC15" s="211"/>
      <c r="BD15" s="209"/>
      <c r="BE15" s="210"/>
      <c r="BF15" s="210"/>
      <c r="BG15" s="210"/>
      <c r="BH15" s="210"/>
      <c r="BI15" s="210"/>
      <c r="BJ15" s="210"/>
      <c r="BK15" s="210"/>
      <c r="BL15" s="210"/>
      <c r="BM15" s="215"/>
      <c r="BN15" s="215"/>
      <c r="BO15" s="215"/>
      <c r="BP15" s="215"/>
      <c r="BQ15" s="215"/>
      <c r="BR15" s="215"/>
      <c r="BS15" s="215"/>
      <c r="BT15" s="215"/>
      <c r="BU15" s="215"/>
      <c r="BV15" s="215"/>
      <c r="BW15" s="215"/>
      <c r="BX15" s="215"/>
      <c r="BY15" s="215"/>
      <c r="BZ15" s="215"/>
      <c r="CA15" s="215"/>
      <c r="CB15" s="215"/>
      <c r="CC15" s="215"/>
      <c r="CD15" s="215"/>
      <c r="CF15" s="180" t="s">
        <v>233</v>
      </c>
      <c r="CG15" s="181"/>
      <c r="CH15" s="181"/>
      <c r="CI15" s="181"/>
      <c r="CJ15" s="181"/>
      <c r="CK15" s="181"/>
      <c r="CL15" s="181"/>
      <c r="CM15" s="181"/>
      <c r="CN15" s="181"/>
      <c r="CO15" s="181"/>
      <c r="CP15" s="181"/>
      <c r="CQ15" s="181"/>
      <c r="CR15" s="181"/>
      <c r="CS15" s="181"/>
      <c r="CT15" s="181"/>
      <c r="CU15" s="181"/>
      <c r="CV15" s="181"/>
      <c r="CW15" s="181"/>
      <c r="CX15" s="181"/>
      <c r="CY15" s="181"/>
      <c r="CZ15" s="181"/>
      <c r="DA15" s="181"/>
      <c r="DB15" s="181"/>
      <c r="DC15" s="181"/>
      <c r="DD15" s="181"/>
      <c r="DE15" s="181"/>
      <c r="DF15" s="181"/>
      <c r="DG15" s="181"/>
      <c r="DH15" s="181"/>
      <c r="DI15" s="181"/>
      <c r="DJ15" s="181"/>
      <c r="DK15" s="181"/>
      <c r="DL15" s="181"/>
      <c r="DM15" s="181"/>
      <c r="DN15" s="182"/>
      <c r="DO15" s="180">
        <v>14</v>
      </c>
      <c r="DP15" s="181"/>
      <c r="DQ15" s="181"/>
      <c r="DR15" s="181"/>
      <c r="DS15" s="182"/>
    </row>
    <row r="16" spans="1:123" ht="6" customHeight="1" x14ac:dyDescent="0.35">
      <c r="A16" s="140"/>
      <c r="B16" s="141"/>
      <c r="C16" s="141"/>
      <c r="D16" s="142"/>
      <c r="E16" s="132"/>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6"/>
      <c r="AN16" s="136"/>
      <c r="AO16" s="136"/>
      <c r="AP16" s="130"/>
      <c r="AQ16" s="130"/>
      <c r="AR16" s="130"/>
      <c r="AS16" s="131"/>
      <c r="AU16" s="209"/>
      <c r="AV16" s="210"/>
      <c r="AW16" s="210"/>
      <c r="AX16" s="210"/>
      <c r="AY16" s="210"/>
      <c r="AZ16" s="210"/>
      <c r="BA16" s="210"/>
      <c r="BB16" s="210"/>
      <c r="BC16" s="211"/>
      <c r="BD16" s="209"/>
      <c r="BE16" s="210"/>
      <c r="BF16" s="210"/>
      <c r="BG16" s="210"/>
      <c r="BH16" s="210"/>
      <c r="BI16" s="210"/>
      <c r="BJ16" s="210"/>
      <c r="BK16" s="210"/>
      <c r="BL16" s="210"/>
      <c r="BM16" s="215"/>
      <c r="BN16" s="215"/>
      <c r="BO16" s="215"/>
      <c r="BP16" s="215"/>
      <c r="BQ16" s="215"/>
      <c r="BR16" s="215"/>
      <c r="BS16" s="215"/>
      <c r="BT16" s="215"/>
      <c r="BU16" s="215"/>
      <c r="BV16" s="215"/>
      <c r="BW16" s="215"/>
      <c r="BX16" s="215"/>
      <c r="BY16" s="215"/>
      <c r="BZ16" s="215"/>
      <c r="CA16" s="215"/>
      <c r="CB16" s="215"/>
      <c r="CC16" s="215"/>
      <c r="CD16" s="215"/>
      <c r="CF16" s="81"/>
      <c r="CG16" s="82"/>
      <c r="CH16" s="82"/>
      <c r="CI16" s="82"/>
      <c r="CJ16" s="82"/>
      <c r="CK16" s="82"/>
      <c r="CL16" s="82"/>
      <c r="CM16" s="82"/>
      <c r="CN16" s="82"/>
      <c r="CO16" s="82"/>
      <c r="CP16" s="82"/>
      <c r="CQ16" s="82"/>
      <c r="CR16" s="82"/>
      <c r="CS16" s="82"/>
      <c r="CT16" s="82"/>
      <c r="CU16" s="82"/>
      <c r="CV16" s="82"/>
      <c r="CW16" s="82"/>
      <c r="CX16" s="82"/>
      <c r="CY16" s="82"/>
      <c r="CZ16" s="82"/>
      <c r="DA16" s="82"/>
      <c r="DB16" s="82"/>
      <c r="DC16" s="82"/>
      <c r="DD16" s="82"/>
      <c r="DE16" s="82"/>
      <c r="DF16" s="82"/>
      <c r="DG16" s="82"/>
      <c r="DH16" s="82"/>
      <c r="DI16" s="82"/>
      <c r="DJ16" s="82"/>
      <c r="DK16" s="82"/>
      <c r="DL16" s="82"/>
      <c r="DM16" s="82"/>
      <c r="DN16" s="83"/>
      <c r="DO16" s="81"/>
      <c r="DP16" s="82"/>
      <c r="DQ16" s="82"/>
      <c r="DR16" s="82"/>
      <c r="DS16" s="83"/>
    </row>
    <row r="17" spans="1:123" ht="6" customHeight="1" x14ac:dyDescent="0.35">
      <c r="A17" s="156" t="s">
        <v>18</v>
      </c>
      <c r="B17" s="156"/>
      <c r="C17" s="156"/>
      <c r="D17" s="156"/>
      <c r="E17" s="134" t="s">
        <v>210</v>
      </c>
      <c r="F17" s="134"/>
      <c r="G17" s="134"/>
      <c r="H17" s="134"/>
      <c r="I17" s="134"/>
      <c r="J17" s="134"/>
      <c r="K17" s="134"/>
      <c r="L17" s="134"/>
      <c r="M17" s="134"/>
      <c r="N17" s="134"/>
      <c r="O17" s="134"/>
      <c r="P17" s="134"/>
      <c r="Q17" s="134"/>
      <c r="R17" s="134"/>
      <c r="S17" s="134"/>
      <c r="T17" s="134"/>
      <c r="U17" s="134"/>
      <c r="V17" s="134"/>
      <c r="W17" s="134"/>
      <c r="X17" s="134"/>
      <c r="Y17" s="134"/>
      <c r="Z17" s="134"/>
      <c r="AA17" s="134"/>
      <c r="AB17" s="119" t="str">
        <f>_xlfn.XLOOKUP(E19,BroadSkills,BroadSkillAspects,"",0,1)</f>
        <v>Mind</v>
      </c>
      <c r="AC17" s="119"/>
      <c r="AD17" s="119"/>
      <c r="AE17" s="119"/>
      <c r="AF17" s="119"/>
      <c r="AG17" s="119"/>
      <c r="AH17" s="70">
        <v>3</v>
      </c>
      <c r="AI17" s="70"/>
      <c r="AJ17" s="70"/>
      <c r="AK17" s="164"/>
      <c r="AL17" s="143">
        <f>IF(_ACTR_2&gt;0,_ACTR_2,"")</f>
        <v>1</v>
      </c>
      <c r="AM17" s="144"/>
      <c r="AN17" s="144"/>
      <c r="AO17" s="145"/>
      <c r="AP17" s="151">
        <v>8</v>
      </c>
      <c r="AQ17" s="70"/>
      <c r="AR17" s="70"/>
      <c r="AS17" s="71"/>
      <c r="AU17" s="209"/>
      <c r="AV17" s="210"/>
      <c r="AW17" s="210"/>
      <c r="AX17" s="210"/>
      <c r="AY17" s="210"/>
      <c r="AZ17" s="210"/>
      <c r="BA17" s="210"/>
      <c r="BB17" s="210"/>
      <c r="BC17" s="211"/>
      <c r="BD17" s="209"/>
      <c r="BE17" s="210"/>
      <c r="BF17" s="210"/>
      <c r="BG17" s="210"/>
      <c r="BH17" s="210"/>
      <c r="BI17" s="210"/>
      <c r="BJ17" s="210"/>
      <c r="BK17" s="210"/>
      <c r="BL17" s="210"/>
      <c r="BM17" s="215"/>
      <c r="BN17" s="215"/>
      <c r="BO17" s="215"/>
      <c r="BP17" s="215"/>
      <c r="BQ17" s="215"/>
      <c r="BR17" s="215"/>
      <c r="BS17" s="215"/>
      <c r="BT17" s="215"/>
      <c r="BU17" s="215"/>
      <c r="BV17" s="215"/>
      <c r="BW17" s="215"/>
      <c r="BX17" s="215"/>
      <c r="BY17" s="215"/>
      <c r="BZ17" s="215"/>
      <c r="CA17" s="215"/>
      <c r="CB17" s="215"/>
      <c r="CC17" s="215"/>
      <c r="CD17" s="215"/>
      <c r="CF17" s="180"/>
      <c r="CG17" s="181"/>
      <c r="CH17" s="181"/>
      <c r="CI17" s="181"/>
      <c r="CJ17" s="181"/>
      <c r="CK17" s="181"/>
      <c r="CL17" s="181"/>
      <c r="CM17" s="181"/>
      <c r="CN17" s="181"/>
      <c r="CO17" s="181"/>
      <c r="CP17" s="181"/>
      <c r="CQ17" s="181"/>
      <c r="CR17" s="181"/>
      <c r="CS17" s="181"/>
      <c r="CT17" s="181"/>
      <c r="CU17" s="181"/>
      <c r="CV17" s="181"/>
      <c r="CW17" s="181"/>
      <c r="CX17" s="181"/>
      <c r="CY17" s="181"/>
      <c r="CZ17" s="181"/>
      <c r="DA17" s="181"/>
      <c r="DB17" s="181"/>
      <c r="DC17" s="181"/>
      <c r="DD17" s="181"/>
      <c r="DE17" s="181"/>
      <c r="DF17" s="181"/>
      <c r="DG17" s="181"/>
      <c r="DH17" s="181"/>
      <c r="DI17" s="181"/>
      <c r="DJ17" s="181"/>
      <c r="DK17" s="181"/>
      <c r="DL17" s="181"/>
      <c r="DM17" s="181"/>
      <c r="DN17" s="182"/>
      <c r="DO17" s="180"/>
      <c r="DP17" s="181"/>
      <c r="DQ17" s="181"/>
      <c r="DR17" s="181"/>
      <c r="DS17" s="182"/>
    </row>
    <row r="18" spans="1:123" ht="6" customHeight="1" x14ac:dyDescent="0.35">
      <c r="A18" s="156"/>
      <c r="B18" s="156"/>
      <c r="C18" s="156"/>
      <c r="D18" s="156"/>
      <c r="E18" s="134"/>
      <c r="F18" s="134"/>
      <c r="G18" s="134"/>
      <c r="H18" s="134"/>
      <c r="I18" s="134"/>
      <c r="J18" s="134"/>
      <c r="K18" s="134"/>
      <c r="L18" s="134"/>
      <c r="M18" s="134"/>
      <c r="N18" s="134"/>
      <c r="O18" s="134"/>
      <c r="P18" s="134"/>
      <c r="Q18" s="134"/>
      <c r="R18" s="134"/>
      <c r="S18" s="134"/>
      <c r="T18" s="134"/>
      <c r="U18" s="134"/>
      <c r="V18" s="134"/>
      <c r="W18" s="134"/>
      <c r="X18" s="134"/>
      <c r="Y18" s="134"/>
      <c r="Z18" s="134"/>
      <c r="AA18" s="134"/>
      <c r="AB18" s="119"/>
      <c r="AC18" s="119"/>
      <c r="AD18" s="119"/>
      <c r="AE18" s="119"/>
      <c r="AF18" s="119"/>
      <c r="AG18" s="119"/>
      <c r="AH18" s="73"/>
      <c r="AI18" s="73"/>
      <c r="AJ18" s="73"/>
      <c r="AK18" s="165"/>
      <c r="AL18" s="146"/>
      <c r="AM18" s="117"/>
      <c r="AN18" s="117"/>
      <c r="AO18" s="147"/>
      <c r="AP18" s="152"/>
      <c r="AQ18" s="73"/>
      <c r="AR18" s="73"/>
      <c r="AS18" s="74"/>
      <c r="AU18" s="212"/>
      <c r="AV18" s="213"/>
      <c r="AW18" s="213"/>
      <c r="AX18" s="213"/>
      <c r="AY18" s="213"/>
      <c r="AZ18" s="213"/>
      <c r="BA18" s="213"/>
      <c r="BB18" s="213"/>
      <c r="BC18" s="214"/>
      <c r="BD18" s="212"/>
      <c r="BE18" s="213"/>
      <c r="BF18" s="213"/>
      <c r="BG18" s="213"/>
      <c r="BH18" s="213"/>
      <c r="BI18" s="213"/>
      <c r="BJ18" s="213"/>
      <c r="BK18" s="213"/>
      <c r="BL18" s="213"/>
      <c r="BM18" s="215"/>
      <c r="BN18" s="215"/>
      <c r="BO18" s="215"/>
      <c r="BP18" s="215"/>
      <c r="BQ18" s="215"/>
      <c r="BR18" s="215"/>
      <c r="BS18" s="215"/>
      <c r="BT18" s="215"/>
      <c r="BU18" s="215"/>
      <c r="BV18" s="215"/>
      <c r="BW18" s="215"/>
      <c r="BX18" s="215"/>
      <c r="BY18" s="215"/>
      <c r="BZ18" s="215"/>
      <c r="CA18" s="215"/>
      <c r="CB18" s="215"/>
      <c r="CC18" s="215"/>
      <c r="CD18" s="215"/>
      <c r="CF18" s="81"/>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82"/>
      <c r="DG18" s="82"/>
      <c r="DH18" s="82"/>
      <c r="DI18" s="82"/>
      <c r="DJ18" s="82"/>
      <c r="DK18" s="82"/>
      <c r="DL18" s="82"/>
      <c r="DM18" s="82"/>
      <c r="DN18" s="83"/>
      <c r="DO18" s="81"/>
      <c r="DP18" s="82"/>
      <c r="DQ18" s="82"/>
      <c r="DR18" s="82"/>
      <c r="DS18" s="83"/>
    </row>
    <row r="19" spans="1:123" ht="6" customHeight="1" x14ac:dyDescent="0.35">
      <c r="A19" s="156" t="s">
        <v>19</v>
      </c>
      <c r="B19" s="156"/>
      <c r="C19" s="156"/>
      <c r="D19" s="156"/>
      <c r="E19" s="134" t="s">
        <v>44</v>
      </c>
      <c r="F19" s="134"/>
      <c r="G19" s="134"/>
      <c r="H19" s="134"/>
      <c r="I19" s="134"/>
      <c r="J19" s="134"/>
      <c r="K19" s="134"/>
      <c r="L19" s="134"/>
      <c r="M19" s="134"/>
      <c r="N19" s="134"/>
      <c r="O19" s="134"/>
      <c r="P19" s="134"/>
      <c r="Q19" s="134"/>
      <c r="R19" s="134"/>
      <c r="S19" s="134"/>
      <c r="T19" s="134"/>
      <c r="U19" s="134"/>
      <c r="V19" s="134"/>
      <c r="W19" s="134"/>
      <c r="X19" s="134"/>
      <c r="Y19" s="134"/>
      <c r="Z19" s="134"/>
      <c r="AA19" s="134"/>
      <c r="AB19" s="119"/>
      <c r="AC19" s="119"/>
      <c r="AD19" s="119"/>
      <c r="AE19" s="119"/>
      <c r="AF19" s="119"/>
      <c r="AG19" s="119"/>
      <c r="AH19" s="154"/>
      <c r="AI19" s="154"/>
      <c r="AJ19" s="154"/>
      <c r="AK19" s="166"/>
      <c r="AL19" s="148"/>
      <c r="AM19" s="149"/>
      <c r="AN19" s="149"/>
      <c r="AO19" s="150"/>
      <c r="AP19" s="153"/>
      <c r="AQ19" s="154"/>
      <c r="AR19" s="154"/>
      <c r="AS19" s="155"/>
      <c r="AU19" s="200" t="s">
        <v>9</v>
      </c>
      <c r="AV19" s="201"/>
      <c r="AW19" s="201"/>
      <c r="AX19" s="201"/>
      <c r="AY19" s="201"/>
      <c r="AZ19" s="201"/>
      <c r="BA19" s="201"/>
      <c r="BB19" s="201"/>
      <c r="BC19" s="201"/>
      <c r="BD19" s="204" t="s">
        <v>10</v>
      </c>
      <c r="BE19" s="204"/>
      <c r="BF19" s="204"/>
      <c r="BG19" s="204"/>
      <c r="BH19" s="204"/>
      <c r="BI19" s="204"/>
      <c r="BJ19" s="204"/>
      <c r="BK19" s="204"/>
      <c r="BL19" s="204"/>
      <c r="BM19" s="196" t="s">
        <v>10</v>
      </c>
      <c r="BN19" s="196"/>
      <c r="BO19" s="196"/>
      <c r="BP19" s="196"/>
      <c r="BQ19" s="196"/>
      <c r="BR19" s="196"/>
      <c r="BS19" s="196"/>
      <c r="BT19" s="196"/>
      <c r="BU19" s="196"/>
      <c r="BV19" s="196" t="s">
        <v>9</v>
      </c>
      <c r="BW19" s="196"/>
      <c r="BX19" s="196"/>
      <c r="BY19" s="196"/>
      <c r="BZ19" s="196"/>
      <c r="CA19" s="196"/>
      <c r="CB19" s="196"/>
      <c r="CC19" s="196"/>
      <c r="CD19" s="197"/>
    </row>
    <row r="20" spans="1:123" ht="6" customHeight="1" x14ac:dyDescent="0.35">
      <c r="A20" s="156"/>
      <c r="B20" s="156"/>
      <c r="C20" s="156"/>
      <c r="D20" s="156"/>
      <c r="E20" s="134"/>
      <c r="F20" s="134"/>
      <c r="G20" s="134"/>
      <c r="H20" s="134"/>
      <c r="I20" s="134"/>
      <c r="J20" s="134"/>
      <c r="K20" s="134"/>
      <c r="L20" s="134"/>
      <c r="M20" s="134"/>
      <c r="N20" s="134"/>
      <c r="O20" s="134"/>
      <c r="P20" s="134"/>
      <c r="Q20" s="134"/>
      <c r="R20" s="134"/>
      <c r="S20" s="134"/>
      <c r="T20" s="134"/>
      <c r="U20" s="134"/>
      <c r="V20" s="134"/>
      <c r="W20" s="134"/>
      <c r="X20" s="134"/>
      <c r="Y20" s="134"/>
      <c r="Z20" s="134"/>
      <c r="AA20" s="134"/>
      <c r="AB20" s="119"/>
      <c r="AC20" s="119"/>
      <c r="AD20" s="119"/>
      <c r="AE20" s="119"/>
      <c r="AF20" s="119"/>
      <c r="AG20" s="119"/>
      <c r="AH20" s="135" t="s">
        <v>29</v>
      </c>
      <c r="AI20" s="157"/>
      <c r="AJ20" s="161"/>
      <c r="AK20" s="127"/>
      <c r="AL20" s="127"/>
      <c r="AM20" s="162"/>
      <c r="AN20" s="135" t="s">
        <v>21</v>
      </c>
      <c r="AO20" s="157"/>
      <c r="AP20" s="161">
        <f>P21</f>
        <v>0</v>
      </c>
      <c r="AQ20" s="127"/>
      <c r="AR20" s="127"/>
      <c r="AS20" s="128"/>
      <c r="AU20" s="202"/>
      <c r="AV20" s="203"/>
      <c r="AW20" s="203"/>
      <c r="AX20" s="203"/>
      <c r="AY20" s="203"/>
      <c r="AZ20" s="203"/>
      <c r="BA20" s="203"/>
      <c r="BB20" s="203"/>
      <c r="BC20" s="203"/>
      <c r="BD20" s="205"/>
      <c r="BE20" s="205"/>
      <c r="BF20" s="205"/>
      <c r="BG20" s="205"/>
      <c r="BH20" s="205"/>
      <c r="BI20" s="205"/>
      <c r="BJ20" s="205"/>
      <c r="BK20" s="205"/>
      <c r="BL20" s="205"/>
      <c r="BM20" s="198"/>
      <c r="BN20" s="198"/>
      <c r="BO20" s="198"/>
      <c r="BP20" s="198"/>
      <c r="BQ20" s="198"/>
      <c r="BR20" s="198"/>
      <c r="BS20" s="198"/>
      <c r="BT20" s="198"/>
      <c r="BU20" s="198"/>
      <c r="BV20" s="198"/>
      <c r="BW20" s="198"/>
      <c r="BX20" s="198"/>
      <c r="BY20" s="198"/>
      <c r="BZ20" s="198"/>
      <c r="CA20" s="198"/>
      <c r="CB20" s="198"/>
      <c r="CC20" s="198"/>
      <c r="CD20" s="199"/>
      <c r="CF20" s="183" t="s">
        <v>231</v>
      </c>
      <c r="CG20" s="183"/>
      <c r="CH20" s="183"/>
      <c r="CI20" s="183"/>
      <c r="CJ20" s="183"/>
      <c r="CK20" s="183"/>
      <c r="CL20" s="183"/>
      <c r="CM20" s="183"/>
      <c r="CN20" s="183"/>
      <c r="CO20" s="183"/>
      <c r="CP20" s="183"/>
      <c r="CQ20" s="183"/>
      <c r="CR20" s="183"/>
      <c r="CS20" s="183"/>
      <c r="CT20" s="183"/>
      <c r="CU20" s="183"/>
      <c r="CV20" s="183"/>
      <c r="CW20" s="183"/>
      <c r="CX20" s="183"/>
      <c r="CY20" s="183"/>
      <c r="CZ20" s="183"/>
      <c r="DA20" s="183"/>
      <c r="DB20" s="183"/>
      <c r="DC20" s="183"/>
      <c r="DD20" s="183"/>
      <c r="DE20" s="183"/>
      <c r="DF20" s="183"/>
      <c r="DG20" s="183"/>
      <c r="DH20" s="183"/>
      <c r="DI20" s="183"/>
      <c r="DJ20" s="183"/>
      <c r="DK20" s="183"/>
      <c r="DL20" s="183"/>
      <c r="DM20" s="183"/>
      <c r="DN20" s="183"/>
      <c r="DO20" s="179" t="s">
        <v>25</v>
      </c>
      <c r="DP20" s="179"/>
      <c r="DQ20" s="179"/>
      <c r="DR20" s="179"/>
      <c r="DS20" s="179"/>
    </row>
    <row r="21" spans="1:123" ht="6" customHeight="1" x14ac:dyDescent="0.35">
      <c r="A21" s="137" t="s">
        <v>54</v>
      </c>
      <c r="B21" s="138"/>
      <c r="C21" s="138"/>
      <c r="D21" s="139"/>
      <c r="E21" s="69"/>
      <c r="F21" s="70"/>
      <c r="G21" s="70"/>
      <c r="H21" s="70"/>
      <c r="I21" s="70"/>
      <c r="J21" s="70"/>
      <c r="K21" s="70"/>
      <c r="L21" s="70"/>
      <c r="M21" s="70"/>
      <c r="N21" s="70"/>
      <c r="O21" s="71"/>
      <c r="P21" s="69"/>
      <c r="Q21" s="71"/>
      <c r="R21" s="116"/>
      <c r="S21" s="116"/>
      <c r="T21" s="116"/>
      <c r="U21" s="116"/>
      <c r="V21" s="116"/>
      <c r="W21" s="116"/>
      <c r="X21" s="116"/>
      <c r="Y21" s="116"/>
      <c r="Z21" s="116"/>
      <c r="AA21" s="116"/>
      <c r="AB21" s="116"/>
      <c r="AC21" s="116"/>
      <c r="AD21" s="116"/>
      <c r="AE21" s="116"/>
      <c r="AF21" s="119">
        <f>_AE_CCost_2</f>
        <v>0</v>
      </c>
      <c r="AG21" s="119"/>
      <c r="AH21" s="118"/>
      <c r="AI21" s="158"/>
      <c r="AJ21" s="146"/>
      <c r="AK21" s="117"/>
      <c r="AL21" s="117"/>
      <c r="AM21" s="147"/>
      <c r="AN21" s="118"/>
      <c r="AO21" s="158"/>
      <c r="AP21" s="146"/>
      <c r="AQ21" s="117"/>
      <c r="AR21" s="117"/>
      <c r="AS21" s="129"/>
      <c r="AU21" s="274" t="s">
        <v>11</v>
      </c>
      <c r="AV21" s="275"/>
      <c r="AW21" s="275"/>
      <c r="AX21" s="275"/>
      <c r="AY21" s="275"/>
      <c r="AZ21" s="275"/>
      <c r="BA21" s="275"/>
      <c r="BB21" s="275"/>
      <c r="BC21" s="275"/>
      <c r="BV21" s="283" t="s">
        <v>12</v>
      </c>
      <c r="BW21" s="284"/>
      <c r="BX21" s="284"/>
      <c r="BY21" s="284"/>
      <c r="BZ21" s="284"/>
      <c r="CA21" s="284"/>
      <c r="CB21" s="284"/>
      <c r="CC21" s="284"/>
      <c r="CD21" s="284"/>
      <c r="CF21" s="183"/>
      <c r="CG21" s="183"/>
      <c r="CH21" s="183"/>
      <c r="CI21" s="183"/>
      <c r="CJ21" s="183"/>
      <c r="CK21" s="183"/>
      <c r="CL21" s="183"/>
      <c r="CM21" s="183"/>
      <c r="CN21" s="183"/>
      <c r="CO21" s="183"/>
      <c r="CP21" s="183"/>
      <c r="CQ21" s="183"/>
      <c r="CR21" s="183"/>
      <c r="CS21" s="183"/>
      <c r="CT21" s="183"/>
      <c r="CU21" s="183"/>
      <c r="CV21" s="183"/>
      <c r="CW21" s="183"/>
      <c r="CX21" s="183"/>
      <c r="CY21" s="183"/>
      <c r="CZ21" s="183"/>
      <c r="DA21" s="183"/>
      <c r="DB21" s="183"/>
      <c r="DC21" s="183"/>
      <c r="DD21" s="183"/>
      <c r="DE21" s="183"/>
      <c r="DF21" s="183"/>
      <c r="DG21" s="183"/>
      <c r="DH21" s="183"/>
      <c r="DI21" s="183"/>
      <c r="DJ21" s="183"/>
      <c r="DK21" s="183"/>
      <c r="DL21" s="183"/>
      <c r="DM21" s="183"/>
      <c r="DN21" s="183"/>
      <c r="DO21" s="179"/>
      <c r="DP21" s="179"/>
      <c r="DQ21" s="179"/>
      <c r="DR21" s="179"/>
      <c r="DS21" s="179"/>
    </row>
    <row r="22" spans="1:123" ht="6" customHeight="1" x14ac:dyDescent="0.35">
      <c r="A22" s="137"/>
      <c r="B22" s="138"/>
      <c r="C22" s="138"/>
      <c r="D22" s="139"/>
      <c r="E22" s="75"/>
      <c r="F22" s="76"/>
      <c r="G22" s="76"/>
      <c r="H22" s="76"/>
      <c r="I22" s="76"/>
      <c r="J22" s="76"/>
      <c r="K22" s="76"/>
      <c r="L22" s="76"/>
      <c r="M22" s="76"/>
      <c r="N22" s="76"/>
      <c r="O22" s="77"/>
      <c r="P22" s="75"/>
      <c r="Q22" s="77"/>
      <c r="R22" s="116"/>
      <c r="S22" s="116"/>
      <c r="T22" s="116"/>
      <c r="U22" s="116"/>
      <c r="V22" s="116"/>
      <c r="W22" s="116"/>
      <c r="X22" s="116"/>
      <c r="Y22" s="116"/>
      <c r="Z22" s="116"/>
      <c r="AA22" s="116"/>
      <c r="AB22" s="116"/>
      <c r="AC22" s="116"/>
      <c r="AD22" s="116"/>
      <c r="AE22" s="116"/>
      <c r="AF22" s="119"/>
      <c r="AG22" s="119"/>
      <c r="AH22" s="159"/>
      <c r="AI22" s="160"/>
      <c r="AJ22" s="148"/>
      <c r="AK22" s="149"/>
      <c r="AL22" s="149"/>
      <c r="AM22" s="150"/>
      <c r="AN22" s="159"/>
      <c r="AO22" s="160"/>
      <c r="AP22" s="148"/>
      <c r="AQ22" s="149"/>
      <c r="AR22" s="149"/>
      <c r="AS22" s="163"/>
      <c r="AU22" s="275"/>
      <c r="AV22" s="275"/>
      <c r="AW22" s="275"/>
      <c r="AX22" s="275"/>
      <c r="AY22" s="275"/>
      <c r="AZ22" s="275"/>
      <c r="BA22" s="275"/>
      <c r="BB22" s="275"/>
      <c r="BC22" s="275"/>
      <c r="BD22" s="262" t="s">
        <v>8</v>
      </c>
      <c r="BE22" s="262"/>
      <c r="BF22" s="262"/>
      <c r="BG22" s="262"/>
      <c r="BH22" s="262"/>
      <c r="BI22" s="262"/>
      <c r="BJ22" s="262"/>
      <c r="BK22" s="262"/>
      <c r="BL22" s="262"/>
      <c r="BM22" s="262"/>
      <c r="BN22" s="262"/>
      <c r="BO22" s="262"/>
      <c r="BP22" s="264" t="s">
        <v>23</v>
      </c>
      <c r="BQ22" s="265"/>
      <c r="BR22" s="186">
        <f>2*(ROUNDUP(MAX(AU7,BZ7),0)+1)</f>
        <v>6</v>
      </c>
      <c r="BS22" s="186"/>
      <c r="BT22" s="186"/>
      <c r="BU22" s="186"/>
      <c r="BV22" s="284"/>
      <c r="BW22" s="284"/>
      <c r="BX22" s="284"/>
      <c r="BY22" s="284"/>
      <c r="BZ22" s="284"/>
      <c r="CA22" s="284"/>
      <c r="CB22" s="284"/>
      <c r="CC22" s="284"/>
      <c r="CD22" s="284"/>
      <c r="CF22" s="180" t="s">
        <v>225</v>
      </c>
      <c r="CG22" s="181"/>
      <c r="CH22" s="181"/>
      <c r="CI22" s="181"/>
      <c r="CJ22" s="181"/>
      <c r="CK22" s="181"/>
      <c r="CL22" s="181"/>
      <c r="CM22" s="181"/>
      <c r="CN22" s="181"/>
      <c r="CO22" s="181"/>
      <c r="CP22" s="181"/>
      <c r="CQ22" s="181"/>
      <c r="CR22" s="181"/>
      <c r="CS22" s="181"/>
      <c r="CT22" s="181"/>
      <c r="CU22" s="181"/>
      <c r="CV22" s="181"/>
      <c r="CW22" s="181"/>
      <c r="CX22" s="181"/>
      <c r="CY22" s="181"/>
      <c r="CZ22" s="181"/>
      <c r="DA22" s="181"/>
      <c r="DB22" s="181"/>
      <c r="DC22" s="181"/>
      <c r="DD22" s="181"/>
      <c r="DE22" s="181"/>
      <c r="DF22" s="181"/>
      <c r="DG22" s="181"/>
      <c r="DH22" s="181"/>
      <c r="DI22" s="181"/>
      <c r="DJ22" s="181"/>
      <c r="DK22" s="181"/>
      <c r="DL22" s="181"/>
      <c r="DM22" s="181"/>
      <c r="DN22" s="182"/>
      <c r="DO22" s="180">
        <v>15</v>
      </c>
      <c r="DP22" s="181"/>
      <c r="DQ22" s="181"/>
      <c r="DR22" s="181"/>
      <c r="DS22" s="182"/>
    </row>
    <row r="23" spans="1:123" ht="6" customHeight="1" x14ac:dyDescent="0.35">
      <c r="A23" s="137"/>
      <c r="B23" s="138"/>
      <c r="C23" s="138"/>
      <c r="D23" s="139"/>
      <c r="E23" s="123"/>
      <c r="F23" s="124"/>
      <c r="G23" s="124"/>
      <c r="H23" s="124"/>
      <c r="I23" s="124"/>
      <c r="J23" s="124"/>
      <c r="K23" s="124"/>
      <c r="L23" s="124"/>
      <c r="M23" s="124"/>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4"/>
      <c r="AM23" s="135" t="s">
        <v>22</v>
      </c>
      <c r="AN23" s="135"/>
      <c r="AO23" s="135"/>
      <c r="AP23" s="127">
        <f>IFERROR(ATR_2-MAX(A_Bulk_2,AR_Bulk),"")</f>
        <v>1</v>
      </c>
      <c r="AQ23" s="127"/>
      <c r="AR23" s="127"/>
      <c r="AS23" s="128"/>
      <c r="AU23" s="275"/>
      <c r="AV23" s="275"/>
      <c r="AW23" s="275"/>
      <c r="AX23" s="275"/>
      <c r="AY23" s="275"/>
      <c r="AZ23" s="275"/>
      <c r="BA23" s="275"/>
      <c r="BB23" s="275"/>
      <c r="BC23" s="275"/>
      <c r="BD23" s="262"/>
      <c r="BE23" s="262"/>
      <c r="BF23" s="262"/>
      <c r="BG23" s="262"/>
      <c r="BH23" s="262"/>
      <c r="BI23" s="262"/>
      <c r="BJ23" s="262"/>
      <c r="BK23" s="262"/>
      <c r="BL23" s="262"/>
      <c r="BM23" s="262"/>
      <c r="BN23" s="262"/>
      <c r="BO23" s="262"/>
      <c r="BP23" s="264"/>
      <c r="BQ23" s="265"/>
      <c r="BR23" s="186"/>
      <c r="BS23" s="186"/>
      <c r="BT23" s="186"/>
      <c r="BU23" s="186"/>
      <c r="BV23" s="284"/>
      <c r="BW23" s="284"/>
      <c r="BX23" s="284"/>
      <c r="BY23" s="284"/>
      <c r="BZ23" s="284"/>
      <c r="CA23" s="284"/>
      <c r="CB23" s="284"/>
      <c r="CC23" s="284"/>
      <c r="CD23" s="284"/>
      <c r="CF23" s="81"/>
      <c r="CG23" s="82"/>
      <c r="CH23" s="82"/>
      <c r="CI23" s="82"/>
      <c r="CJ23" s="82"/>
      <c r="CK23" s="82"/>
      <c r="CL23" s="82"/>
      <c r="CM23" s="82"/>
      <c r="CN23" s="82"/>
      <c r="CO23" s="82"/>
      <c r="CP23" s="82"/>
      <c r="CQ23" s="82"/>
      <c r="CR23" s="82"/>
      <c r="CS23" s="82"/>
      <c r="CT23" s="82"/>
      <c r="CU23" s="82"/>
      <c r="CV23" s="82"/>
      <c r="CW23" s="82"/>
      <c r="CX23" s="82"/>
      <c r="CY23" s="82"/>
      <c r="CZ23" s="82"/>
      <c r="DA23" s="82"/>
      <c r="DB23" s="82"/>
      <c r="DC23" s="82"/>
      <c r="DD23" s="82"/>
      <c r="DE23" s="82"/>
      <c r="DF23" s="82"/>
      <c r="DG23" s="82"/>
      <c r="DH23" s="82"/>
      <c r="DI23" s="82"/>
      <c r="DJ23" s="82"/>
      <c r="DK23" s="82"/>
      <c r="DL23" s="82"/>
      <c r="DM23" s="82"/>
      <c r="DN23" s="83"/>
      <c r="DO23" s="81"/>
      <c r="DP23" s="82"/>
      <c r="DQ23" s="82"/>
      <c r="DR23" s="82"/>
      <c r="DS23" s="83"/>
    </row>
    <row r="24" spans="1:123" ht="6" customHeight="1" x14ac:dyDescent="0.35">
      <c r="A24" s="137"/>
      <c r="B24" s="138"/>
      <c r="C24" s="138"/>
      <c r="D24" s="139"/>
      <c r="E24" s="125"/>
      <c r="F24" s="126"/>
      <c r="G24" s="126"/>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18"/>
      <c r="AN24" s="118"/>
      <c r="AO24" s="118"/>
      <c r="AP24" s="117"/>
      <c r="AQ24" s="117"/>
      <c r="AR24" s="117"/>
      <c r="AS24" s="129"/>
      <c r="AU24" s="275"/>
      <c r="AV24" s="275"/>
      <c r="AW24" s="275"/>
      <c r="AX24" s="275"/>
      <c r="AY24" s="275"/>
      <c r="AZ24" s="275"/>
      <c r="BA24" s="275"/>
      <c r="BB24" s="275"/>
      <c r="BC24" s="275"/>
      <c r="BD24" s="263"/>
      <c r="BE24" s="263"/>
      <c r="BF24" s="263"/>
      <c r="BG24" s="263"/>
      <c r="BH24" s="263"/>
      <c r="BI24" s="263"/>
      <c r="BJ24" s="263"/>
      <c r="BK24" s="263"/>
      <c r="BL24" s="263"/>
      <c r="BM24" s="263"/>
      <c r="BN24" s="263"/>
      <c r="BO24" s="263"/>
      <c r="BP24" s="265"/>
      <c r="BQ24" s="265"/>
      <c r="BR24" s="186"/>
      <c r="BS24" s="186"/>
      <c r="BT24" s="186"/>
      <c r="BU24" s="186"/>
      <c r="BV24" s="284"/>
      <c r="BW24" s="284"/>
      <c r="BX24" s="284"/>
      <c r="BY24" s="284"/>
      <c r="BZ24" s="284"/>
      <c r="CA24" s="284"/>
      <c r="CB24" s="284"/>
      <c r="CC24" s="284"/>
      <c r="CD24" s="284"/>
      <c r="CF24" s="180" t="s">
        <v>224</v>
      </c>
      <c r="CG24" s="181"/>
      <c r="CH24" s="181"/>
      <c r="CI24" s="181"/>
      <c r="CJ24" s="181"/>
      <c r="CK24" s="181"/>
      <c r="CL24" s="181"/>
      <c r="CM24" s="181"/>
      <c r="CN24" s="181"/>
      <c r="CO24" s="181"/>
      <c r="CP24" s="181"/>
      <c r="CQ24" s="181"/>
      <c r="CR24" s="181"/>
      <c r="CS24" s="181"/>
      <c r="CT24" s="181"/>
      <c r="CU24" s="181"/>
      <c r="CV24" s="181"/>
      <c r="CW24" s="181"/>
      <c r="CX24" s="181"/>
      <c r="CY24" s="181"/>
      <c r="CZ24" s="181"/>
      <c r="DA24" s="181"/>
      <c r="DB24" s="181"/>
      <c r="DC24" s="181"/>
      <c r="DD24" s="181"/>
      <c r="DE24" s="181"/>
      <c r="DF24" s="181"/>
      <c r="DG24" s="181"/>
      <c r="DH24" s="181"/>
      <c r="DI24" s="181"/>
      <c r="DJ24" s="181"/>
      <c r="DK24" s="181"/>
      <c r="DL24" s="181"/>
      <c r="DM24" s="181"/>
      <c r="DN24" s="182"/>
      <c r="DO24" s="180">
        <v>22</v>
      </c>
      <c r="DP24" s="181"/>
      <c r="DQ24" s="181"/>
      <c r="DR24" s="181"/>
      <c r="DS24" s="182"/>
    </row>
    <row r="25" spans="1:123" ht="6" customHeight="1" x14ac:dyDescent="0.35">
      <c r="A25" s="137"/>
      <c r="B25" s="138"/>
      <c r="C25" s="138"/>
      <c r="D25" s="139"/>
      <c r="E25" s="123" t="s">
        <v>209</v>
      </c>
      <c r="F25" s="124"/>
      <c r="G25" s="124"/>
      <c r="H25" s="124"/>
      <c r="I25" s="124"/>
      <c r="J25" s="124"/>
      <c r="K25" s="124"/>
      <c r="L25" s="124"/>
      <c r="M25" s="124"/>
      <c r="N25" s="124"/>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4"/>
      <c r="AM25" s="118"/>
      <c r="AN25" s="118"/>
      <c r="AO25" s="118"/>
      <c r="AP25" s="117"/>
      <c r="AQ25" s="117"/>
      <c r="AR25" s="117"/>
      <c r="AS25" s="129"/>
      <c r="AU25" s="275"/>
      <c r="AV25" s="275"/>
      <c r="AW25" s="275"/>
      <c r="AX25" s="275"/>
      <c r="AY25" s="275"/>
      <c r="AZ25" s="275"/>
      <c r="BA25" s="275"/>
      <c r="BB25" s="275"/>
      <c r="BC25" s="275"/>
      <c r="BD25" s="215"/>
      <c r="BE25" s="215"/>
      <c r="BF25" s="215"/>
      <c r="BG25" s="215"/>
      <c r="BH25" s="215"/>
      <c r="BI25" s="215"/>
      <c r="BJ25" s="215"/>
      <c r="BK25" s="215"/>
      <c r="BL25" s="215"/>
      <c r="BM25" s="215"/>
      <c r="BN25" s="215"/>
      <c r="BO25" s="215"/>
      <c r="BP25" s="215"/>
      <c r="BQ25" s="215"/>
      <c r="BR25" s="215"/>
      <c r="BS25" s="215"/>
      <c r="BT25" s="215"/>
      <c r="BU25" s="215"/>
      <c r="BV25" s="284"/>
      <c r="BW25" s="284"/>
      <c r="BX25" s="284"/>
      <c r="BY25" s="284"/>
      <c r="BZ25" s="284"/>
      <c r="CA25" s="284"/>
      <c r="CB25" s="284"/>
      <c r="CC25" s="284"/>
      <c r="CD25" s="284"/>
      <c r="CF25" s="81"/>
      <c r="CG25" s="82"/>
      <c r="CH25" s="82"/>
      <c r="CI25" s="82"/>
      <c r="CJ25" s="82"/>
      <c r="CK25" s="82"/>
      <c r="CL25" s="82"/>
      <c r="CM25" s="82"/>
      <c r="CN25" s="82"/>
      <c r="CO25" s="82"/>
      <c r="CP25" s="82"/>
      <c r="CQ25" s="82"/>
      <c r="CR25" s="82"/>
      <c r="CS25" s="82"/>
      <c r="CT25" s="82"/>
      <c r="CU25" s="82"/>
      <c r="CV25" s="82"/>
      <c r="CW25" s="82"/>
      <c r="CX25" s="82"/>
      <c r="CY25" s="82"/>
      <c r="CZ25" s="82"/>
      <c r="DA25" s="82"/>
      <c r="DB25" s="82"/>
      <c r="DC25" s="82"/>
      <c r="DD25" s="82"/>
      <c r="DE25" s="82"/>
      <c r="DF25" s="82"/>
      <c r="DG25" s="82"/>
      <c r="DH25" s="82"/>
      <c r="DI25" s="82"/>
      <c r="DJ25" s="82"/>
      <c r="DK25" s="82"/>
      <c r="DL25" s="82"/>
      <c r="DM25" s="82"/>
      <c r="DN25" s="83"/>
      <c r="DO25" s="81"/>
      <c r="DP25" s="82"/>
      <c r="DQ25" s="82"/>
      <c r="DR25" s="82"/>
      <c r="DS25" s="83"/>
    </row>
    <row r="26" spans="1:123" ht="6" customHeight="1" x14ac:dyDescent="0.35">
      <c r="A26" s="140"/>
      <c r="B26" s="141"/>
      <c r="C26" s="141"/>
      <c r="D26" s="142"/>
      <c r="E26" s="132"/>
      <c r="F26" s="133"/>
      <c r="G26" s="133"/>
      <c r="H26" s="133"/>
      <c r="I26" s="133"/>
      <c r="J26" s="133"/>
      <c r="K26" s="133"/>
      <c r="L26" s="133"/>
      <c r="M26" s="133"/>
      <c r="N26" s="133"/>
      <c r="O26" s="133"/>
      <c r="P26" s="133"/>
      <c r="Q26" s="133"/>
      <c r="R26" s="133"/>
      <c r="S26" s="133"/>
      <c r="T26" s="133"/>
      <c r="U26" s="133"/>
      <c r="V26" s="133"/>
      <c r="W26" s="133"/>
      <c r="X26" s="133"/>
      <c r="Y26" s="133"/>
      <c r="Z26" s="133"/>
      <c r="AA26" s="133"/>
      <c r="AB26" s="133"/>
      <c r="AC26" s="133"/>
      <c r="AD26" s="133"/>
      <c r="AE26" s="133"/>
      <c r="AF26" s="133"/>
      <c r="AG26" s="133"/>
      <c r="AH26" s="133"/>
      <c r="AI26" s="133"/>
      <c r="AJ26" s="133"/>
      <c r="AK26" s="133"/>
      <c r="AL26" s="133"/>
      <c r="AM26" s="136"/>
      <c r="AN26" s="136"/>
      <c r="AO26" s="136"/>
      <c r="AP26" s="130"/>
      <c r="AQ26" s="130"/>
      <c r="AR26" s="130"/>
      <c r="AS26" s="131"/>
      <c r="AU26" s="275"/>
      <c r="AV26" s="275"/>
      <c r="AW26" s="275"/>
      <c r="AX26" s="275"/>
      <c r="AY26" s="275"/>
      <c r="AZ26" s="275"/>
      <c r="BA26" s="275"/>
      <c r="BB26" s="275"/>
      <c r="BC26" s="275"/>
      <c r="BD26" s="215"/>
      <c r="BE26" s="215"/>
      <c r="BF26" s="215"/>
      <c r="BG26" s="215"/>
      <c r="BH26" s="215"/>
      <c r="BI26" s="215"/>
      <c r="BJ26" s="215"/>
      <c r="BK26" s="215"/>
      <c r="BL26" s="215"/>
      <c r="BM26" s="215"/>
      <c r="BN26" s="215"/>
      <c r="BO26" s="215"/>
      <c r="BP26" s="215"/>
      <c r="BQ26" s="215"/>
      <c r="BR26" s="215"/>
      <c r="BS26" s="215"/>
      <c r="BT26" s="215"/>
      <c r="BU26" s="215"/>
      <c r="BV26" s="284"/>
      <c r="BW26" s="284"/>
      <c r="BX26" s="284"/>
      <c r="BY26" s="284"/>
      <c r="BZ26" s="284"/>
      <c r="CA26" s="284"/>
      <c r="CB26" s="284"/>
      <c r="CC26" s="284"/>
      <c r="CD26" s="284"/>
      <c r="CF26" s="180" t="s">
        <v>226</v>
      </c>
      <c r="CG26" s="181"/>
      <c r="CH26" s="181"/>
      <c r="CI26" s="181"/>
      <c r="CJ26" s="181"/>
      <c r="CK26" s="181"/>
      <c r="CL26" s="181"/>
      <c r="CM26" s="181"/>
      <c r="CN26" s="181"/>
      <c r="CO26" s="181"/>
      <c r="CP26" s="181"/>
      <c r="CQ26" s="181"/>
      <c r="CR26" s="181"/>
      <c r="CS26" s="181"/>
      <c r="CT26" s="181"/>
      <c r="CU26" s="181"/>
      <c r="CV26" s="181"/>
      <c r="CW26" s="181"/>
      <c r="CX26" s="181"/>
      <c r="CY26" s="181"/>
      <c r="CZ26" s="181"/>
      <c r="DA26" s="181"/>
      <c r="DB26" s="181"/>
      <c r="DC26" s="181"/>
      <c r="DD26" s="181"/>
      <c r="DE26" s="181"/>
      <c r="DF26" s="181"/>
      <c r="DG26" s="181"/>
      <c r="DH26" s="181"/>
      <c r="DI26" s="181"/>
      <c r="DJ26" s="181"/>
      <c r="DK26" s="181"/>
      <c r="DL26" s="181"/>
      <c r="DM26" s="181"/>
      <c r="DN26" s="182"/>
      <c r="DO26" s="180">
        <v>18</v>
      </c>
      <c r="DP26" s="181"/>
      <c r="DQ26" s="181"/>
      <c r="DR26" s="181"/>
      <c r="DS26" s="182"/>
    </row>
    <row r="27" spans="1:123" ht="6" customHeight="1" x14ac:dyDescent="0.35">
      <c r="A27" s="156" t="s">
        <v>18</v>
      </c>
      <c r="B27" s="156"/>
      <c r="C27" s="156"/>
      <c r="D27" s="156"/>
      <c r="E27" s="134" t="s">
        <v>211</v>
      </c>
      <c r="F27" s="134"/>
      <c r="G27" s="134"/>
      <c r="H27" s="134"/>
      <c r="I27" s="134"/>
      <c r="J27" s="134"/>
      <c r="K27" s="134"/>
      <c r="L27" s="134"/>
      <c r="M27" s="134"/>
      <c r="N27" s="134"/>
      <c r="O27" s="134"/>
      <c r="P27" s="134"/>
      <c r="Q27" s="134"/>
      <c r="R27" s="134"/>
      <c r="S27" s="134"/>
      <c r="T27" s="134"/>
      <c r="U27" s="134"/>
      <c r="V27" s="134"/>
      <c r="W27" s="134"/>
      <c r="X27" s="134"/>
      <c r="Y27" s="134"/>
      <c r="Z27" s="134"/>
      <c r="AA27" s="134"/>
      <c r="AB27" s="119" t="str">
        <f>_xlfn.XLOOKUP(E29,BroadSkills,BroadSkillAspects,"",0,1)</f>
        <v>Mind</v>
      </c>
      <c r="AC27" s="119"/>
      <c r="AD27" s="119"/>
      <c r="AE27" s="119"/>
      <c r="AF27" s="119"/>
      <c r="AG27" s="119"/>
      <c r="AH27" s="70">
        <v>4</v>
      </c>
      <c r="AI27" s="70"/>
      <c r="AJ27" s="70"/>
      <c r="AK27" s="164"/>
      <c r="AL27" s="143">
        <f>IF(_ACTR_3&gt;0,_ACTR_3,"")</f>
        <v>1</v>
      </c>
      <c r="AM27" s="144"/>
      <c r="AN27" s="144"/>
      <c r="AO27" s="145"/>
      <c r="AP27" s="151">
        <v>8</v>
      </c>
      <c r="AQ27" s="70"/>
      <c r="AR27" s="70"/>
      <c r="AS27" s="71"/>
      <c r="AU27" s="250" t="s">
        <v>12</v>
      </c>
      <c r="AV27" s="251"/>
      <c r="AW27" s="251"/>
      <c r="AX27" s="251"/>
      <c r="AY27" s="251"/>
      <c r="AZ27" s="251"/>
      <c r="BA27" s="251"/>
      <c r="BB27" s="251"/>
      <c r="BC27" s="251"/>
      <c r="BD27" s="215"/>
      <c r="BE27" s="215"/>
      <c r="BF27" s="215"/>
      <c r="BG27" s="215"/>
      <c r="BH27" s="215"/>
      <c r="BI27" s="215"/>
      <c r="BJ27" s="215"/>
      <c r="BK27" s="215"/>
      <c r="BL27" s="215"/>
      <c r="BM27" s="215"/>
      <c r="BN27" s="215"/>
      <c r="BO27" s="215"/>
      <c r="BP27" s="215"/>
      <c r="BQ27" s="215"/>
      <c r="BR27" s="215"/>
      <c r="BS27" s="215"/>
      <c r="BT27" s="215"/>
      <c r="BU27" s="215"/>
      <c r="BV27" s="283" t="s">
        <v>11</v>
      </c>
      <c r="BW27" s="284"/>
      <c r="BX27" s="284"/>
      <c r="BY27" s="284"/>
      <c r="BZ27" s="284"/>
      <c r="CA27" s="284"/>
      <c r="CB27" s="284"/>
      <c r="CC27" s="284"/>
      <c r="CD27" s="284"/>
      <c r="CF27" s="81"/>
      <c r="CG27" s="82"/>
      <c r="CH27" s="82"/>
      <c r="CI27" s="82"/>
      <c r="CJ27" s="82"/>
      <c r="CK27" s="82"/>
      <c r="CL27" s="82"/>
      <c r="CM27" s="82"/>
      <c r="CN27" s="82"/>
      <c r="CO27" s="82"/>
      <c r="CP27" s="82"/>
      <c r="CQ27" s="82"/>
      <c r="CR27" s="82"/>
      <c r="CS27" s="82"/>
      <c r="CT27" s="82"/>
      <c r="CU27" s="82"/>
      <c r="CV27" s="82"/>
      <c r="CW27" s="82"/>
      <c r="CX27" s="82"/>
      <c r="CY27" s="82"/>
      <c r="CZ27" s="82"/>
      <c r="DA27" s="82"/>
      <c r="DB27" s="82"/>
      <c r="DC27" s="82"/>
      <c r="DD27" s="82"/>
      <c r="DE27" s="82"/>
      <c r="DF27" s="82"/>
      <c r="DG27" s="82"/>
      <c r="DH27" s="82"/>
      <c r="DI27" s="82"/>
      <c r="DJ27" s="82"/>
      <c r="DK27" s="82"/>
      <c r="DL27" s="82"/>
      <c r="DM27" s="82"/>
      <c r="DN27" s="83"/>
      <c r="DO27" s="81"/>
      <c r="DP27" s="82"/>
      <c r="DQ27" s="82"/>
      <c r="DR27" s="82"/>
      <c r="DS27" s="83"/>
    </row>
    <row r="28" spans="1:123" ht="6" customHeight="1" x14ac:dyDescent="0.35">
      <c r="A28" s="156"/>
      <c r="B28" s="156"/>
      <c r="C28" s="156"/>
      <c r="D28" s="156"/>
      <c r="E28" s="134"/>
      <c r="F28" s="134"/>
      <c r="G28" s="134"/>
      <c r="H28" s="134"/>
      <c r="I28" s="134"/>
      <c r="J28" s="134"/>
      <c r="K28" s="134"/>
      <c r="L28" s="134"/>
      <c r="M28" s="134"/>
      <c r="N28" s="134"/>
      <c r="O28" s="134"/>
      <c r="P28" s="134"/>
      <c r="Q28" s="134"/>
      <c r="R28" s="134"/>
      <c r="S28" s="134"/>
      <c r="T28" s="134"/>
      <c r="U28" s="134"/>
      <c r="V28" s="134"/>
      <c r="W28" s="134"/>
      <c r="X28" s="134"/>
      <c r="Y28" s="134"/>
      <c r="Z28" s="134"/>
      <c r="AA28" s="134"/>
      <c r="AB28" s="119"/>
      <c r="AC28" s="119"/>
      <c r="AD28" s="119"/>
      <c r="AE28" s="119"/>
      <c r="AF28" s="119"/>
      <c r="AG28" s="119"/>
      <c r="AH28" s="73"/>
      <c r="AI28" s="73"/>
      <c r="AJ28" s="73"/>
      <c r="AK28" s="165"/>
      <c r="AL28" s="146"/>
      <c r="AM28" s="117"/>
      <c r="AN28" s="117"/>
      <c r="AO28" s="147"/>
      <c r="AP28" s="152"/>
      <c r="AQ28" s="73"/>
      <c r="AR28" s="73"/>
      <c r="AS28" s="74"/>
      <c r="AU28" s="251"/>
      <c r="AV28" s="251"/>
      <c r="AW28" s="251"/>
      <c r="AX28" s="251"/>
      <c r="AY28" s="251"/>
      <c r="AZ28" s="251"/>
      <c r="BA28" s="251"/>
      <c r="BB28" s="251"/>
      <c r="BC28" s="251"/>
      <c r="BD28" s="215"/>
      <c r="BE28" s="215"/>
      <c r="BF28" s="215"/>
      <c r="BG28" s="215"/>
      <c r="BH28" s="215"/>
      <c r="BI28" s="215"/>
      <c r="BJ28" s="215"/>
      <c r="BK28" s="215"/>
      <c r="BL28" s="215"/>
      <c r="BM28" s="215"/>
      <c r="BN28" s="215"/>
      <c r="BO28" s="215"/>
      <c r="BP28" s="215"/>
      <c r="BQ28" s="215"/>
      <c r="BR28" s="215"/>
      <c r="BS28" s="215"/>
      <c r="BT28" s="215"/>
      <c r="BU28" s="215"/>
      <c r="BV28" s="284"/>
      <c r="BW28" s="284"/>
      <c r="BX28" s="284"/>
      <c r="BY28" s="284"/>
      <c r="BZ28" s="284"/>
      <c r="CA28" s="284"/>
      <c r="CB28" s="284"/>
      <c r="CC28" s="284"/>
      <c r="CD28" s="284"/>
      <c r="CF28" s="180"/>
      <c r="CG28" s="181"/>
      <c r="CH28" s="181"/>
      <c r="CI28" s="181"/>
      <c r="CJ28" s="181"/>
      <c r="CK28" s="181"/>
      <c r="CL28" s="181"/>
      <c r="CM28" s="181"/>
      <c r="CN28" s="181"/>
      <c r="CO28" s="181"/>
      <c r="CP28" s="181"/>
      <c r="CQ28" s="181"/>
      <c r="CR28" s="181"/>
      <c r="CS28" s="181"/>
      <c r="CT28" s="181"/>
      <c r="CU28" s="181"/>
      <c r="CV28" s="181"/>
      <c r="CW28" s="181"/>
      <c r="CX28" s="181"/>
      <c r="CY28" s="181"/>
      <c r="CZ28" s="181"/>
      <c r="DA28" s="181"/>
      <c r="DB28" s="181"/>
      <c r="DC28" s="181"/>
      <c r="DD28" s="181"/>
      <c r="DE28" s="181"/>
      <c r="DF28" s="181"/>
      <c r="DG28" s="181"/>
      <c r="DH28" s="181"/>
      <c r="DI28" s="181"/>
      <c r="DJ28" s="181"/>
      <c r="DK28" s="181"/>
      <c r="DL28" s="181"/>
      <c r="DM28" s="181"/>
      <c r="DN28" s="182"/>
      <c r="DO28" s="180"/>
      <c r="DP28" s="181"/>
      <c r="DQ28" s="181"/>
      <c r="DR28" s="181"/>
      <c r="DS28" s="182"/>
    </row>
    <row r="29" spans="1:123" ht="6" customHeight="1" x14ac:dyDescent="0.35">
      <c r="A29" s="156" t="s">
        <v>19</v>
      </c>
      <c r="B29" s="156"/>
      <c r="C29" s="156"/>
      <c r="D29" s="156"/>
      <c r="E29" s="134" t="s">
        <v>44</v>
      </c>
      <c r="F29" s="134"/>
      <c r="G29" s="134"/>
      <c r="H29" s="134"/>
      <c r="I29" s="134"/>
      <c r="J29" s="134"/>
      <c r="K29" s="134"/>
      <c r="L29" s="134"/>
      <c r="M29" s="134"/>
      <c r="N29" s="134"/>
      <c r="O29" s="134"/>
      <c r="P29" s="134"/>
      <c r="Q29" s="134"/>
      <c r="R29" s="134"/>
      <c r="S29" s="134"/>
      <c r="T29" s="134"/>
      <c r="U29" s="134"/>
      <c r="V29" s="134"/>
      <c r="W29" s="134"/>
      <c r="X29" s="134"/>
      <c r="Y29" s="134"/>
      <c r="Z29" s="134"/>
      <c r="AA29" s="134"/>
      <c r="AB29" s="119"/>
      <c r="AC29" s="119"/>
      <c r="AD29" s="119"/>
      <c r="AE29" s="119"/>
      <c r="AF29" s="119"/>
      <c r="AG29" s="119"/>
      <c r="AH29" s="154"/>
      <c r="AI29" s="154"/>
      <c r="AJ29" s="154"/>
      <c r="AK29" s="166"/>
      <c r="AL29" s="148"/>
      <c r="AM29" s="149"/>
      <c r="AN29" s="149"/>
      <c r="AO29" s="150"/>
      <c r="AP29" s="153"/>
      <c r="AQ29" s="154"/>
      <c r="AR29" s="154"/>
      <c r="AS29" s="155"/>
      <c r="AU29" s="251"/>
      <c r="AV29" s="251"/>
      <c r="AW29" s="251"/>
      <c r="AX29" s="251"/>
      <c r="AY29" s="251"/>
      <c r="AZ29" s="251"/>
      <c r="BA29" s="251"/>
      <c r="BB29" s="251"/>
      <c r="BC29" s="251"/>
      <c r="BD29" s="215"/>
      <c r="BE29" s="215"/>
      <c r="BF29" s="215"/>
      <c r="BG29" s="215"/>
      <c r="BH29" s="215"/>
      <c r="BI29" s="215"/>
      <c r="BJ29" s="215"/>
      <c r="BK29" s="215"/>
      <c r="BL29" s="215"/>
      <c r="BM29" s="215"/>
      <c r="BN29" s="215"/>
      <c r="BO29" s="215"/>
      <c r="BP29" s="215"/>
      <c r="BQ29" s="215"/>
      <c r="BR29" s="215"/>
      <c r="BS29" s="215"/>
      <c r="BT29" s="215"/>
      <c r="BU29" s="215"/>
      <c r="BV29" s="284"/>
      <c r="BW29" s="284"/>
      <c r="BX29" s="284"/>
      <c r="BY29" s="284"/>
      <c r="BZ29" s="284"/>
      <c r="CA29" s="284"/>
      <c r="CB29" s="284"/>
      <c r="CC29" s="284"/>
      <c r="CD29" s="284"/>
      <c r="CF29" s="81"/>
      <c r="CG29" s="82"/>
      <c r="CH29" s="82"/>
      <c r="CI29" s="82"/>
      <c r="CJ29" s="82"/>
      <c r="CK29" s="82"/>
      <c r="CL29" s="82"/>
      <c r="CM29" s="82"/>
      <c r="CN29" s="82"/>
      <c r="CO29" s="82"/>
      <c r="CP29" s="82"/>
      <c r="CQ29" s="82"/>
      <c r="CR29" s="82"/>
      <c r="CS29" s="82"/>
      <c r="CT29" s="82"/>
      <c r="CU29" s="82"/>
      <c r="CV29" s="82"/>
      <c r="CW29" s="82"/>
      <c r="CX29" s="82"/>
      <c r="CY29" s="82"/>
      <c r="CZ29" s="82"/>
      <c r="DA29" s="82"/>
      <c r="DB29" s="82"/>
      <c r="DC29" s="82"/>
      <c r="DD29" s="82"/>
      <c r="DE29" s="82"/>
      <c r="DF29" s="82"/>
      <c r="DG29" s="82"/>
      <c r="DH29" s="82"/>
      <c r="DI29" s="82"/>
      <c r="DJ29" s="82"/>
      <c r="DK29" s="82"/>
      <c r="DL29" s="82"/>
      <c r="DM29" s="82"/>
      <c r="DN29" s="83"/>
      <c r="DO29" s="81"/>
      <c r="DP29" s="82"/>
      <c r="DQ29" s="82"/>
      <c r="DR29" s="82"/>
      <c r="DS29" s="83"/>
    </row>
    <row r="30" spans="1:123" ht="6" customHeight="1" x14ac:dyDescent="0.35">
      <c r="A30" s="156"/>
      <c r="B30" s="156"/>
      <c r="C30" s="156"/>
      <c r="D30" s="156"/>
      <c r="E30" s="134"/>
      <c r="F30" s="134"/>
      <c r="G30" s="134"/>
      <c r="H30" s="134"/>
      <c r="I30" s="134"/>
      <c r="J30" s="134"/>
      <c r="K30" s="134"/>
      <c r="L30" s="134"/>
      <c r="M30" s="134"/>
      <c r="N30" s="134"/>
      <c r="O30" s="134"/>
      <c r="P30" s="134"/>
      <c r="Q30" s="134"/>
      <c r="R30" s="134"/>
      <c r="S30" s="134"/>
      <c r="T30" s="134"/>
      <c r="U30" s="134"/>
      <c r="V30" s="134"/>
      <c r="W30" s="134"/>
      <c r="X30" s="134"/>
      <c r="Y30" s="134"/>
      <c r="Z30" s="134"/>
      <c r="AA30" s="134"/>
      <c r="AB30" s="119"/>
      <c r="AC30" s="119"/>
      <c r="AD30" s="119"/>
      <c r="AE30" s="119"/>
      <c r="AF30" s="119"/>
      <c r="AG30" s="119"/>
      <c r="AH30" s="135" t="s">
        <v>29</v>
      </c>
      <c r="AI30" s="157"/>
      <c r="AJ30" s="161"/>
      <c r="AK30" s="127"/>
      <c r="AL30" s="127"/>
      <c r="AM30" s="162"/>
      <c r="AN30" s="135" t="s">
        <v>21</v>
      </c>
      <c r="AO30" s="157"/>
      <c r="AP30" s="161">
        <f>P31</f>
        <v>0</v>
      </c>
      <c r="AQ30" s="127"/>
      <c r="AR30" s="127"/>
      <c r="AS30" s="128"/>
      <c r="AU30" s="251"/>
      <c r="AV30" s="251"/>
      <c r="AW30" s="251"/>
      <c r="AX30" s="251"/>
      <c r="AY30" s="251"/>
      <c r="AZ30" s="251"/>
      <c r="BA30" s="251"/>
      <c r="BB30" s="251"/>
      <c r="BC30" s="251"/>
      <c r="BD30" s="244" t="s">
        <v>9</v>
      </c>
      <c r="BE30" s="245"/>
      <c r="BF30" s="245"/>
      <c r="BG30" s="245"/>
      <c r="BH30" s="245"/>
      <c r="BI30" s="245"/>
      <c r="BJ30" s="245"/>
      <c r="BK30" s="245"/>
      <c r="BL30" s="246"/>
      <c r="BM30" s="244" t="s">
        <v>10</v>
      </c>
      <c r="BN30" s="245"/>
      <c r="BO30" s="245"/>
      <c r="BP30" s="245"/>
      <c r="BQ30" s="245"/>
      <c r="BR30" s="245"/>
      <c r="BS30" s="245"/>
      <c r="BT30" s="245"/>
      <c r="BU30" s="246"/>
      <c r="BV30" s="284"/>
      <c r="BW30" s="284"/>
      <c r="BX30" s="284"/>
      <c r="BY30" s="284"/>
      <c r="BZ30" s="284"/>
      <c r="CA30" s="284"/>
      <c r="CB30" s="284"/>
      <c r="CC30" s="284"/>
      <c r="CD30" s="284"/>
      <c r="CF30" s="180"/>
      <c r="CG30" s="181"/>
      <c r="CH30" s="181"/>
      <c r="CI30" s="181"/>
      <c r="CJ30" s="181"/>
      <c r="CK30" s="181"/>
      <c r="CL30" s="181"/>
      <c r="CM30" s="181"/>
      <c r="CN30" s="181"/>
      <c r="CO30" s="181"/>
      <c r="CP30" s="181"/>
      <c r="CQ30" s="181"/>
      <c r="CR30" s="181"/>
      <c r="CS30" s="181"/>
      <c r="CT30" s="181"/>
      <c r="CU30" s="181"/>
      <c r="CV30" s="181"/>
      <c r="CW30" s="181"/>
      <c r="CX30" s="181"/>
      <c r="CY30" s="181"/>
      <c r="CZ30" s="181"/>
      <c r="DA30" s="181"/>
      <c r="DB30" s="181"/>
      <c r="DC30" s="181"/>
      <c r="DD30" s="181"/>
      <c r="DE30" s="181"/>
      <c r="DF30" s="181"/>
      <c r="DG30" s="181"/>
      <c r="DH30" s="181"/>
      <c r="DI30" s="181"/>
      <c r="DJ30" s="181"/>
      <c r="DK30" s="181"/>
      <c r="DL30" s="181"/>
      <c r="DM30" s="181"/>
      <c r="DN30" s="182"/>
      <c r="DO30" s="180"/>
      <c r="DP30" s="181"/>
      <c r="DQ30" s="181"/>
      <c r="DR30" s="181"/>
      <c r="DS30" s="182"/>
    </row>
    <row r="31" spans="1:123" ht="6" customHeight="1" x14ac:dyDescent="0.35">
      <c r="A31" s="137" t="s">
        <v>54</v>
      </c>
      <c r="B31" s="138"/>
      <c r="C31" s="138"/>
      <c r="D31" s="139"/>
      <c r="E31" s="69"/>
      <c r="F31" s="70"/>
      <c r="G31" s="70"/>
      <c r="H31" s="70"/>
      <c r="I31" s="70"/>
      <c r="J31" s="70"/>
      <c r="K31" s="70"/>
      <c r="L31" s="70"/>
      <c r="M31" s="70"/>
      <c r="N31" s="70"/>
      <c r="O31" s="71"/>
      <c r="P31" s="69"/>
      <c r="Q31" s="71"/>
      <c r="R31" s="116"/>
      <c r="S31" s="116"/>
      <c r="T31" s="116"/>
      <c r="U31" s="116"/>
      <c r="V31" s="116"/>
      <c r="W31" s="116"/>
      <c r="X31" s="116"/>
      <c r="Y31" s="116"/>
      <c r="Z31" s="116"/>
      <c r="AA31" s="116"/>
      <c r="AB31" s="116"/>
      <c r="AC31" s="116"/>
      <c r="AD31" s="116"/>
      <c r="AE31" s="116"/>
      <c r="AF31" s="119">
        <f>_AE_CCost_3</f>
        <v>0</v>
      </c>
      <c r="AG31" s="119"/>
      <c r="AH31" s="118"/>
      <c r="AI31" s="158"/>
      <c r="AJ31" s="146"/>
      <c r="AK31" s="117"/>
      <c r="AL31" s="117"/>
      <c r="AM31" s="147"/>
      <c r="AN31" s="118"/>
      <c r="AO31" s="158"/>
      <c r="AP31" s="146"/>
      <c r="AQ31" s="117"/>
      <c r="AR31" s="117"/>
      <c r="AS31" s="129"/>
      <c r="AU31" s="251"/>
      <c r="AV31" s="251"/>
      <c r="AW31" s="251"/>
      <c r="AX31" s="251"/>
      <c r="AY31" s="251"/>
      <c r="AZ31" s="251"/>
      <c r="BA31" s="251"/>
      <c r="BB31" s="251"/>
      <c r="BC31" s="251"/>
      <c r="BD31" s="247"/>
      <c r="BE31" s="248"/>
      <c r="BF31" s="248"/>
      <c r="BG31" s="248"/>
      <c r="BH31" s="248"/>
      <c r="BI31" s="248"/>
      <c r="BJ31" s="248"/>
      <c r="BK31" s="248"/>
      <c r="BL31" s="249"/>
      <c r="BM31" s="247"/>
      <c r="BN31" s="248"/>
      <c r="BO31" s="248"/>
      <c r="BP31" s="248"/>
      <c r="BQ31" s="248"/>
      <c r="BR31" s="248"/>
      <c r="BS31" s="248"/>
      <c r="BT31" s="248"/>
      <c r="BU31" s="249"/>
      <c r="BV31" s="284"/>
      <c r="BW31" s="284"/>
      <c r="BX31" s="284"/>
      <c r="BY31" s="284"/>
      <c r="BZ31" s="284"/>
      <c r="CA31" s="284"/>
      <c r="CB31" s="284"/>
      <c r="CC31" s="284"/>
      <c r="CD31" s="284"/>
      <c r="CF31" s="81"/>
      <c r="CG31" s="82"/>
      <c r="CH31" s="82"/>
      <c r="CI31" s="82"/>
      <c r="CJ31" s="82"/>
      <c r="CK31" s="82"/>
      <c r="CL31" s="82"/>
      <c r="CM31" s="82"/>
      <c r="CN31" s="82"/>
      <c r="CO31" s="82"/>
      <c r="CP31" s="82"/>
      <c r="CQ31" s="82"/>
      <c r="CR31" s="82"/>
      <c r="CS31" s="82"/>
      <c r="CT31" s="82"/>
      <c r="CU31" s="82"/>
      <c r="CV31" s="82"/>
      <c r="CW31" s="82"/>
      <c r="CX31" s="82"/>
      <c r="CY31" s="82"/>
      <c r="CZ31" s="82"/>
      <c r="DA31" s="82"/>
      <c r="DB31" s="82"/>
      <c r="DC31" s="82"/>
      <c r="DD31" s="82"/>
      <c r="DE31" s="82"/>
      <c r="DF31" s="82"/>
      <c r="DG31" s="82"/>
      <c r="DH31" s="82"/>
      <c r="DI31" s="82"/>
      <c r="DJ31" s="82"/>
      <c r="DK31" s="82"/>
      <c r="DL31" s="82"/>
      <c r="DM31" s="82"/>
      <c r="DN31" s="83"/>
      <c r="DO31" s="81"/>
      <c r="DP31" s="82"/>
      <c r="DQ31" s="82"/>
      <c r="DR31" s="82"/>
      <c r="DS31" s="83"/>
    </row>
    <row r="32" spans="1:123" ht="6" customHeight="1" x14ac:dyDescent="0.35">
      <c r="A32" s="137"/>
      <c r="B32" s="138"/>
      <c r="C32" s="138"/>
      <c r="D32" s="139"/>
      <c r="E32" s="75"/>
      <c r="F32" s="76"/>
      <c r="G32" s="76"/>
      <c r="H32" s="76"/>
      <c r="I32" s="76"/>
      <c r="J32" s="76"/>
      <c r="K32" s="76"/>
      <c r="L32" s="76"/>
      <c r="M32" s="76"/>
      <c r="N32" s="76"/>
      <c r="O32" s="77"/>
      <c r="P32" s="75"/>
      <c r="Q32" s="77"/>
      <c r="R32" s="116"/>
      <c r="S32" s="116"/>
      <c r="T32" s="116"/>
      <c r="U32" s="116"/>
      <c r="V32" s="116"/>
      <c r="W32" s="116"/>
      <c r="X32" s="116"/>
      <c r="Y32" s="116"/>
      <c r="Z32" s="116"/>
      <c r="AA32" s="116"/>
      <c r="AB32" s="116"/>
      <c r="AC32" s="116"/>
      <c r="AD32" s="116"/>
      <c r="AE32" s="116"/>
      <c r="AF32" s="119"/>
      <c r="AG32" s="119"/>
      <c r="AH32" s="159"/>
      <c r="AI32" s="160"/>
      <c r="AJ32" s="148"/>
      <c r="AK32" s="149"/>
      <c r="AL32" s="149"/>
      <c r="AM32" s="150"/>
      <c r="AN32" s="159"/>
      <c r="AO32" s="160"/>
      <c r="AP32" s="148"/>
      <c r="AQ32" s="149"/>
      <c r="AR32" s="149"/>
      <c r="AS32" s="163"/>
      <c r="AU32" s="251"/>
      <c r="AV32" s="251"/>
      <c r="AW32" s="251"/>
      <c r="AX32" s="251"/>
      <c r="AY32" s="251"/>
      <c r="AZ32" s="251"/>
      <c r="BA32" s="251"/>
      <c r="BB32" s="251"/>
      <c r="BC32" s="251"/>
      <c r="BV32" s="284"/>
      <c r="BW32" s="284"/>
      <c r="BX32" s="284"/>
      <c r="BY32" s="284"/>
      <c r="BZ32" s="284"/>
      <c r="CA32" s="284"/>
      <c r="CB32" s="284"/>
      <c r="CC32" s="284"/>
      <c r="CD32" s="284"/>
      <c r="CF32" s="180"/>
      <c r="CG32" s="181"/>
      <c r="CH32" s="181"/>
      <c r="CI32" s="181"/>
      <c r="CJ32" s="181"/>
      <c r="CK32" s="181"/>
      <c r="CL32" s="181"/>
      <c r="CM32" s="181"/>
      <c r="CN32" s="181"/>
      <c r="CO32" s="181"/>
      <c r="CP32" s="181"/>
      <c r="CQ32" s="181"/>
      <c r="CR32" s="181"/>
      <c r="CS32" s="181"/>
      <c r="CT32" s="181"/>
      <c r="CU32" s="181"/>
      <c r="CV32" s="181"/>
      <c r="CW32" s="181"/>
      <c r="CX32" s="181"/>
      <c r="CY32" s="181"/>
      <c r="CZ32" s="181"/>
      <c r="DA32" s="181"/>
      <c r="DB32" s="181"/>
      <c r="DC32" s="181"/>
      <c r="DD32" s="181"/>
      <c r="DE32" s="181"/>
      <c r="DF32" s="181"/>
      <c r="DG32" s="181"/>
      <c r="DH32" s="181"/>
      <c r="DI32" s="181"/>
      <c r="DJ32" s="181"/>
      <c r="DK32" s="181"/>
      <c r="DL32" s="181"/>
      <c r="DM32" s="181"/>
      <c r="DN32" s="182"/>
      <c r="DO32" s="180"/>
      <c r="DP32" s="181"/>
      <c r="DQ32" s="181"/>
      <c r="DR32" s="181"/>
      <c r="DS32" s="182"/>
    </row>
    <row r="33" spans="1:123" ht="6" customHeight="1" x14ac:dyDescent="0.35">
      <c r="A33" s="137"/>
      <c r="B33" s="138"/>
      <c r="C33" s="138"/>
      <c r="D33" s="139"/>
      <c r="E33" s="123"/>
      <c r="F33" s="124"/>
      <c r="G33" s="124"/>
      <c r="H33" s="124"/>
      <c r="I33" s="124"/>
      <c r="J33" s="124"/>
      <c r="K33" s="124"/>
      <c r="L33" s="124"/>
      <c r="M33" s="12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35" t="s">
        <v>22</v>
      </c>
      <c r="AN33" s="135"/>
      <c r="AO33" s="135"/>
      <c r="AP33" s="127">
        <f>IFERROR(ATR_3-MAX(A_Bulk_3,AR_Bulk),"")</f>
        <v>1</v>
      </c>
      <c r="AQ33" s="127"/>
      <c r="AR33" s="127"/>
      <c r="AS33" s="128"/>
      <c r="AU33" s="190" t="s">
        <v>13</v>
      </c>
      <c r="AV33" s="190"/>
      <c r="AW33" s="190"/>
      <c r="AX33" s="190"/>
      <c r="AY33" s="190"/>
      <c r="AZ33" s="190"/>
      <c r="BA33" s="190"/>
      <c r="BB33" s="190"/>
      <c r="BC33" s="190"/>
      <c r="BD33" s="190"/>
      <c r="BE33" s="190"/>
      <c r="BF33" s="190"/>
      <c r="BG33" s="187" t="s">
        <v>23</v>
      </c>
      <c r="BH33" s="188"/>
      <c r="BI33" s="186">
        <f>AU7+3</f>
        <v>4</v>
      </c>
      <c r="BJ33" s="186"/>
      <c r="BK33" s="186"/>
      <c r="BL33" s="186"/>
      <c r="BM33" s="195" t="s">
        <v>14</v>
      </c>
      <c r="BN33" s="195"/>
      <c r="BO33" s="195"/>
      <c r="BP33" s="195"/>
      <c r="BQ33" s="195"/>
      <c r="BR33" s="195"/>
      <c r="BS33" s="195"/>
      <c r="BT33" s="195"/>
      <c r="BU33" s="195"/>
      <c r="BV33" s="195"/>
      <c r="BW33" s="195"/>
      <c r="BX33" s="195"/>
      <c r="BY33" s="193" t="s">
        <v>23</v>
      </c>
      <c r="BZ33" s="193"/>
      <c r="CA33" s="186">
        <f>BZ7+3</f>
        <v>5</v>
      </c>
      <c r="CB33" s="186"/>
      <c r="CC33" s="186"/>
      <c r="CD33" s="186"/>
      <c r="CF33" s="81"/>
      <c r="CG33" s="82"/>
      <c r="CH33" s="82"/>
      <c r="CI33" s="82"/>
      <c r="CJ33" s="82"/>
      <c r="CK33" s="82"/>
      <c r="CL33" s="82"/>
      <c r="CM33" s="82"/>
      <c r="CN33" s="82"/>
      <c r="CO33" s="82"/>
      <c r="CP33" s="82"/>
      <c r="CQ33" s="82"/>
      <c r="CR33" s="82"/>
      <c r="CS33" s="82"/>
      <c r="CT33" s="82"/>
      <c r="CU33" s="82"/>
      <c r="CV33" s="82"/>
      <c r="CW33" s="82"/>
      <c r="CX33" s="82"/>
      <c r="CY33" s="82"/>
      <c r="CZ33" s="82"/>
      <c r="DA33" s="82"/>
      <c r="DB33" s="82"/>
      <c r="DC33" s="82"/>
      <c r="DD33" s="82"/>
      <c r="DE33" s="82"/>
      <c r="DF33" s="82"/>
      <c r="DG33" s="82"/>
      <c r="DH33" s="82"/>
      <c r="DI33" s="82"/>
      <c r="DJ33" s="82"/>
      <c r="DK33" s="82"/>
      <c r="DL33" s="82"/>
      <c r="DM33" s="82"/>
      <c r="DN33" s="83"/>
      <c r="DO33" s="81"/>
      <c r="DP33" s="82"/>
      <c r="DQ33" s="82"/>
      <c r="DR33" s="82"/>
      <c r="DS33" s="83"/>
    </row>
    <row r="34" spans="1:123" ht="6" customHeight="1" x14ac:dyDescent="0.35">
      <c r="A34" s="137"/>
      <c r="B34" s="138"/>
      <c r="C34" s="138"/>
      <c r="D34" s="139"/>
      <c r="E34" s="125"/>
      <c r="F34" s="126"/>
      <c r="G34" s="126"/>
      <c r="H34" s="126"/>
      <c r="I34" s="126"/>
      <c r="J34" s="126"/>
      <c r="K34" s="126"/>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18"/>
      <c r="AN34" s="118"/>
      <c r="AO34" s="118"/>
      <c r="AP34" s="117"/>
      <c r="AQ34" s="117"/>
      <c r="AR34" s="117"/>
      <c r="AS34" s="129"/>
      <c r="AU34" s="190"/>
      <c r="AV34" s="190"/>
      <c r="AW34" s="190"/>
      <c r="AX34" s="190"/>
      <c r="AY34" s="190"/>
      <c r="AZ34" s="190"/>
      <c r="BA34" s="190"/>
      <c r="BB34" s="190"/>
      <c r="BC34" s="190"/>
      <c r="BD34" s="190"/>
      <c r="BE34" s="190"/>
      <c r="BF34" s="190"/>
      <c r="BG34" s="187"/>
      <c r="BH34" s="188"/>
      <c r="BI34" s="186"/>
      <c r="BJ34" s="186"/>
      <c r="BK34" s="186"/>
      <c r="BL34" s="186"/>
      <c r="BM34" s="192"/>
      <c r="BN34" s="192"/>
      <c r="BO34" s="192"/>
      <c r="BP34" s="192"/>
      <c r="BQ34" s="192"/>
      <c r="BR34" s="192"/>
      <c r="BS34" s="192"/>
      <c r="BT34" s="192"/>
      <c r="BU34" s="192"/>
      <c r="BV34" s="192"/>
      <c r="BW34" s="192"/>
      <c r="BX34" s="192"/>
      <c r="BY34" s="194"/>
      <c r="BZ34" s="194"/>
      <c r="CA34" s="186"/>
      <c r="CB34" s="186"/>
      <c r="CC34" s="186"/>
      <c r="CD34" s="186"/>
      <c r="CF34" s="180"/>
      <c r="CG34" s="181"/>
      <c r="CH34" s="181"/>
      <c r="CI34" s="181"/>
      <c r="CJ34" s="181"/>
      <c r="CK34" s="181"/>
      <c r="CL34" s="181"/>
      <c r="CM34" s="181"/>
      <c r="CN34" s="181"/>
      <c r="CO34" s="181"/>
      <c r="CP34" s="181"/>
      <c r="CQ34" s="181"/>
      <c r="CR34" s="181"/>
      <c r="CS34" s="181"/>
      <c r="CT34" s="181"/>
      <c r="CU34" s="181"/>
      <c r="CV34" s="181"/>
      <c r="CW34" s="181"/>
      <c r="CX34" s="181"/>
      <c r="CY34" s="181"/>
      <c r="CZ34" s="181"/>
      <c r="DA34" s="181"/>
      <c r="DB34" s="181"/>
      <c r="DC34" s="181"/>
      <c r="DD34" s="181"/>
      <c r="DE34" s="181"/>
      <c r="DF34" s="181"/>
      <c r="DG34" s="181"/>
      <c r="DH34" s="181"/>
      <c r="DI34" s="181"/>
      <c r="DJ34" s="181"/>
      <c r="DK34" s="181"/>
      <c r="DL34" s="181"/>
      <c r="DM34" s="181"/>
      <c r="DN34" s="182"/>
      <c r="DO34" s="180"/>
      <c r="DP34" s="181"/>
      <c r="DQ34" s="181"/>
      <c r="DR34" s="181"/>
      <c r="DS34" s="182"/>
    </row>
    <row r="35" spans="1:123" ht="6" customHeight="1" x14ac:dyDescent="0.35">
      <c r="A35" s="137"/>
      <c r="B35" s="138"/>
      <c r="C35" s="138"/>
      <c r="D35" s="139"/>
      <c r="E35" s="123" t="s">
        <v>209</v>
      </c>
      <c r="F35" s="124"/>
      <c r="G35" s="124"/>
      <c r="H35" s="124"/>
      <c r="I35" s="124"/>
      <c r="J35" s="124"/>
      <c r="K35" s="124"/>
      <c r="L35" s="124"/>
      <c r="M35" s="124"/>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18"/>
      <c r="AN35" s="118"/>
      <c r="AO35" s="118"/>
      <c r="AP35" s="117"/>
      <c r="AQ35" s="117"/>
      <c r="AR35" s="117"/>
      <c r="AS35" s="129"/>
      <c r="AU35" s="191"/>
      <c r="AV35" s="191"/>
      <c r="AW35" s="191"/>
      <c r="AX35" s="191"/>
      <c r="AY35" s="191"/>
      <c r="AZ35" s="191"/>
      <c r="BA35" s="191"/>
      <c r="BB35" s="191"/>
      <c r="BC35" s="191"/>
      <c r="BD35" s="191"/>
      <c r="BE35" s="191"/>
      <c r="BF35" s="191"/>
      <c r="BG35" s="188"/>
      <c r="BH35" s="188"/>
      <c r="BI35" s="186"/>
      <c r="BJ35" s="186"/>
      <c r="BK35" s="186"/>
      <c r="BL35" s="186"/>
      <c r="BM35" s="192"/>
      <c r="BN35" s="192"/>
      <c r="BO35" s="192"/>
      <c r="BP35" s="192"/>
      <c r="BQ35" s="192"/>
      <c r="BR35" s="192"/>
      <c r="BS35" s="192"/>
      <c r="BT35" s="192"/>
      <c r="BU35" s="192"/>
      <c r="BV35" s="192"/>
      <c r="BW35" s="192"/>
      <c r="BX35" s="192"/>
      <c r="BY35" s="194"/>
      <c r="BZ35" s="194"/>
      <c r="CA35" s="186"/>
      <c r="CB35" s="186"/>
      <c r="CC35" s="186"/>
      <c r="CD35" s="186"/>
      <c r="CF35" s="81"/>
      <c r="CG35" s="82"/>
      <c r="CH35" s="82"/>
      <c r="CI35" s="82"/>
      <c r="CJ35" s="82"/>
      <c r="CK35" s="82"/>
      <c r="CL35" s="82"/>
      <c r="CM35" s="82"/>
      <c r="CN35" s="82"/>
      <c r="CO35" s="82"/>
      <c r="CP35" s="82"/>
      <c r="CQ35" s="82"/>
      <c r="CR35" s="82"/>
      <c r="CS35" s="82"/>
      <c r="CT35" s="82"/>
      <c r="CU35" s="82"/>
      <c r="CV35" s="82"/>
      <c r="CW35" s="82"/>
      <c r="CX35" s="82"/>
      <c r="CY35" s="82"/>
      <c r="CZ35" s="82"/>
      <c r="DA35" s="82"/>
      <c r="DB35" s="82"/>
      <c r="DC35" s="82"/>
      <c r="DD35" s="82"/>
      <c r="DE35" s="82"/>
      <c r="DF35" s="82"/>
      <c r="DG35" s="82"/>
      <c r="DH35" s="82"/>
      <c r="DI35" s="82"/>
      <c r="DJ35" s="82"/>
      <c r="DK35" s="82"/>
      <c r="DL35" s="82"/>
      <c r="DM35" s="82"/>
      <c r="DN35" s="83"/>
      <c r="DO35" s="81"/>
      <c r="DP35" s="82"/>
      <c r="DQ35" s="82"/>
      <c r="DR35" s="82"/>
      <c r="DS35" s="83"/>
    </row>
    <row r="36" spans="1:123" ht="6" customHeight="1" x14ac:dyDescent="0.35">
      <c r="A36" s="140"/>
      <c r="B36" s="141"/>
      <c r="C36" s="141"/>
      <c r="D36" s="142"/>
      <c r="E36" s="132"/>
      <c r="F36" s="133"/>
      <c r="G36" s="133"/>
      <c r="H36" s="133"/>
      <c r="I36" s="133"/>
      <c r="J36" s="133"/>
      <c r="K36" s="133"/>
      <c r="L36" s="133"/>
      <c r="M36" s="133"/>
      <c r="N36" s="133"/>
      <c r="O36" s="133"/>
      <c r="P36" s="133"/>
      <c r="Q36" s="133"/>
      <c r="R36" s="133"/>
      <c r="S36" s="133"/>
      <c r="T36" s="133"/>
      <c r="U36" s="133"/>
      <c r="V36" s="133"/>
      <c r="W36" s="133"/>
      <c r="X36" s="133"/>
      <c r="Y36" s="133"/>
      <c r="Z36" s="133"/>
      <c r="AA36" s="133"/>
      <c r="AB36" s="133"/>
      <c r="AC36" s="133"/>
      <c r="AD36" s="133"/>
      <c r="AE36" s="133"/>
      <c r="AF36" s="133"/>
      <c r="AG36" s="133"/>
      <c r="AH36" s="133"/>
      <c r="AI36" s="133"/>
      <c r="AJ36" s="133"/>
      <c r="AK36" s="133"/>
      <c r="AL36" s="133"/>
      <c r="AM36" s="136"/>
      <c r="AN36" s="136"/>
      <c r="AO36" s="136"/>
      <c r="AP36" s="130"/>
      <c r="AQ36" s="130"/>
      <c r="AR36" s="130"/>
      <c r="AS36" s="131"/>
      <c r="AU36" s="215"/>
      <c r="AV36" s="215"/>
      <c r="AW36" s="215"/>
      <c r="AX36" s="215"/>
      <c r="AY36" s="215"/>
      <c r="AZ36" s="215"/>
      <c r="BA36" s="215"/>
      <c r="BB36" s="215"/>
      <c r="BC36" s="215"/>
      <c r="BD36" s="215"/>
      <c r="BE36" s="215"/>
      <c r="BF36" s="215"/>
      <c r="BG36" s="215"/>
      <c r="BH36" s="215"/>
      <c r="BI36" s="215"/>
      <c r="BJ36" s="215"/>
      <c r="BK36" s="215"/>
      <c r="BL36" s="215"/>
      <c r="BM36" s="215"/>
      <c r="BN36" s="215"/>
      <c r="BO36" s="215"/>
      <c r="BP36" s="215"/>
      <c r="BQ36" s="215"/>
      <c r="BR36" s="215"/>
      <c r="BS36" s="215"/>
      <c r="BT36" s="215"/>
      <c r="BU36" s="215"/>
      <c r="BV36" s="215"/>
      <c r="BW36" s="215"/>
      <c r="BX36" s="215"/>
      <c r="BY36" s="215"/>
      <c r="BZ36" s="215"/>
      <c r="CA36" s="215"/>
      <c r="CB36" s="215"/>
      <c r="CC36" s="215"/>
      <c r="CD36" s="215"/>
      <c r="CF36" s="180"/>
      <c r="CG36" s="181"/>
      <c r="CH36" s="181"/>
      <c r="CI36" s="181"/>
      <c r="CJ36" s="181"/>
      <c r="CK36" s="181"/>
      <c r="CL36" s="181"/>
      <c r="CM36" s="181"/>
      <c r="CN36" s="181"/>
      <c r="CO36" s="181"/>
      <c r="CP36" s="181"/>
      <c r="CQ36" s="181"/>
      <c r="CR36" s="181"/>
      <c r="CS36" s="181"/>
      <c r="CT36" s="181"/>
      <c r="CU36" s="181"/>
      <c r="CV36" s="181"/>
      <c r="CW36" s="181"/>
      <c r="CX36" s="181"/>
      <c r="CY36" s="181"/>
      <c r="CZ36" s="181"/>
      <c r="DA36" s="181"/>
      <c r="DB36" s="181"/>
      <c r="DC36" s="181"/>
      <c r="DD36" s="181"/>
      <c r="DE36" s="181"/>
      <c r="DF36" s="181"/>
      <c r="DG36" s="181"/>
      <c r="DH36" s="181"/>
      <c r="DI36" s="181"/>
      <c r="DJ36" s="181"/>
      <c r="DK36" s="181"/>
      <c r="DL36" s="181"/>
      <c r="DM36" s="181"/>
      <c r="DN36" s="182"/>
      <c r="DO36" s="180"/>
      <c r="DP36" s="181"/>
      <c r="DQ36" s="181"/>
      <c r="DR36" s="181"/>
      <c r="DS36" s="182"/>
    </row>
    <row r="37" spans="1:123" ht="6" customHeight="1" x14ac:dyDescent="0.35">
      <c r="A37" s="156" t="s">
        <v>18</v>
      </c>
      <c r="B37" s="156"/>
      <c r="C37" s="156"/>
      <c r="D37" s="156"/>
      <c r="E37" s="134" t="s">
        <v>212</v>
      </c>
      <c r="F37" s="134"/>
      <c r="G37" s="134"/>
      <c r="H37" s="134"/>
      <c r="I37" s="134"/>
      <c r="J37" s="134"/>
      <c r="K37" s="134"/>
      <c r="L37" s="134"/>
      <c r="M37" s="134"/>
      <c r="N37" s="134"/>
      <c r="O37" s="134"/>
      <c r="P37" s="134"/>
      <c r="Q37" s="134"/>
      <c r="R37" s="134"/>
      <c r="S37" s="134"/>
      <c r="T37" s="134"/>
      <c r="U37" s="134"/>
      <c r="V37" s="134"/>
      <c r="W37" s="134"/>
      <c r="X37" s="134"/>
      <c r="Y37" s="134"/>
      <c r="Z37" s="134"/>
      <c r="AA37" s="134"/>
      <c r="AB37" s="119" t="str">
        <f>_xlfn.XLOOKUP(E39,BroadSkills,BroadSkillAspects,"",0,1)</f>
        <v>Mind</v>
      </c>
      <c r="AC37" s="119"/>
      <c r="AD37" s="119"/>
      <c r="AE37" s="119"/>
      <c r="AF37" s="119"/>
      <c r="AG37" s="119"/>
      <c r="AH37" s="70">
        <v>6</v>
      </c>
      <c r="AI37" s="70"/>
      <c r="AJ37" s="70"/>
      <c r="AK37" s="164"/>
      <c r="AL37" s="143">
        <f>IF(_ACTR_4&gt;0,_ACTR_4,"")</f>
        <v>2</v>
      </c>
      <c r="AM37" s="144"/>
      <c r="AN37" s="144"/>
      <c r="AO37" s="145"/>
      <c r="AP37" s="151">
        <v>9</v>
      </c>
      <c r="AQ37" s="70"/>
      <c r="AR37" s="70"/>
      <c r="AS37" s="71"/>
      <c r="AU37" s="215"/>
      <c r="AV37" s="215"/>
      <c r="AW37" s="215"/>
      <c r="AX37" s="215"/>
      <c r="AY37" s="215"/>
      <c r="AZ37" s="215"/>
      <c r="BA37" s="215"/>
      <c r="BB37" s="215"/>
      <c r="BC37" s="215"/>
      <c r="BD37" s="215"/>
      <c r="BE37" s="215"/>
      <c r="BF37" s="215"/>
      <c r="BG37" s="215"/>
      <c r="BH37" s="215"/>
      <c r="BI37" s="215"/>
      <c r="BJ37" s="215"/>
      <c r="BK37" s="215"/>
      <c r="BL37" s="215"/>
      <c r="BM37" s="215"/>
      <c r="BN37" s="215"/>
      <c r="BO37" s="215"/>
      <c r="BP37" s="215"/>
      <c r="BQ37" s="215"/>
      <c r="BR37" s="215"/>
      <c r="BS37" s="215"/>
      <c r="BT37" s="215"/>
      <c r="BU37" s="215"/>
      <c r="BV37" s="215"/>
      <c r="BW37" s="215"/>
      <c r="BX37" s="215"/>
      <c r="BY37" s="215"/>
      <c r="BZ37" s="215"/>
      <c r="CA37" s="215"/>
      <c r="CB37" s="215"/>
      <c r="CC37" s="215"/>
      <c r="CD37" s="215"/>
      <c r="CF37" s="81"/>
      <c r="CG37" s="82"/>
      <c r="CH37" s="82"/>
      <c r="CI37" s="82"/>
      <c r="CJ37" s="82"/>
      <c r="CK37" s="82"/>
      <c r="CL37" s="82"/>
      <c r="CM37" s="82"/>
      <c r="CN37" s="82"/>
      <c r="CO37" s="82"/>
      <c r="CP37" s="82"/>
      <c r="CQ37" s="82"/>
      <c r="CR37" s="82"/>
      <c r="CS37" s="82"/>
      <c r="CT37" s="82"/>
      <c r="CU37" s="82"/>
      <c r="CV37" s="82"/>
      <c r="CW37" s="82"/>
      <c r="CX37" s="82"/>
      <c r="CY37" s="82"/>
      <c r="CZ37" s="82"/>
      <c r="DA37" s="82"/>
      <c r="DB37" s="82"/>
      <c r="DC37" s="82"/>
      <c r="DD37" s="82"/>
      <c r="DE37" s="82"/>
      <c r="DF37" s="82"/>
      <c r="DG37" s="82"/>
      <c r="DH37" s="82"/>
      <c r="DI37" s="82"/>
      <c r="DJ37" s="82"/>
      <c r="DK37" s="82"/>
      <c r="DL37" s="82"/>
      <c r="DM37" s="82"/>
      <c r="DN37" s="83"/>
      <c r="DO37" s="81"/>
      <c r="DP37" s="82"/>
      <c r="DQ37" s="82"/>
      <c r="DR37" s="82"/>
      <c r="DS37" s="83"/>
    </row>
    <row r="38" spans="1:123" ht="6" customHeight="1" x14ac:dyDescent="0.35">
      <c r="A38" s="156"/>
      <c r="B38" s="156"/>
      <c r="C38" s="156"/>
      <c r="D38" s="156"/>
      <c r="E38" s="134"/>
      <c r="F38" s="134"/>
      <c r="G38" s="134"/>
      <c r="H38" s="134"/>
      <c r="I38" s="134"/>
      <c r="J38" s="134"/>
      <c r="K38" s="134"/>
      <c r="L38" s="134"/>
      <c r="M38" s="134"/>
      <c r="N38" s="134"/>
      <c r="O38" s="134"/>
      <c r="P38" s="134"/>
      <c r="Q38" s="134"/>
      <c r="R38" s="134"/>
      <c r="S38" s="134"/>
      <c r="T38" s="134"/>
      <c r="U38" s="134"/>
      <c r="V38" s="134"/>
      <c r="W38" s="134"/>
      <c r="X38" s="134"/>
      <c r="Y38" s="134"/>
      <c r="Z38" s="134"/>
      <c r="AA38" s="134"/>
      <c r="AB38" s="119"/>
      <c r="AC38" s="119"/>
      <c r="AD38" s="119"/>
      <c r="AE38" s="119"/>
      <c r="AF38" s="119"/>
      <c r="AG38" s="119"/>
      <c r="AH38" s="73"/>
      <c r="AI38" s="73"/>
      <c r="AJ38" s="73"/>
      <c r="AK38" s="165"/>
      <c r="AL38" s="146"/>
      <c r="AM38" s="117"/>
      <c r="AN38" s="117"/>
      <c r="AO38" s="147"/>
      <c r="AP38" s="152"/>
      <c r="AQ38" s="73"/>
      <c r="AR38" s="73"/>
      <c r="AS38" s="74"/>
      <c r="AU38" s="215"/>
      <c r="AV38" s="215"/>
      <c r="AW38" s="215"/>
      <c r="AX38" s="215"/>
      <c r="AY38" s="215"/>
      <c r="AZ38" s="215"/>
      <c r="BA38" s="215"/>
      <c r="BB38" s="215"/>
      <c r="BC38" s="215"/>
      <c r="BD38" s="215"/>
      <c r="BE38" s="215"/>
      <c r="BF38" s="215"/>
      <c r="BG38" s="215"/>
      <c r="BH38" s="215"/>
      <c r="BI38" s="215"/>
      <c r="BJ38" s="215"/>
      <c r="BK38" s="215"/>
      <c r="BL38" s="215"/>
      <c r="BM38" s="215"/>
      <c r="BN38" s="215"/>
      <c r="BO38" s="215"/>
      <c r="BP38" s="215"/>
      <c r="BQ38" s="215"/>
      <c r="BR38" s="215"/>
      <c r="BS38" s="215"/>
      <c r="BT38" s="215"/>
      <c r="BU38" s="215"/>
      <c r="BV38" s="215"/>
      <c r="BW38" s="215"/>
      <c r="BX38" s="215"/>
      <c r="BY38" s="215"/>
      <c r="BZ38" s="215"/>
      <c r="CA38" s="215"/>
      <c r="CB38" s="215"/>
      <c r="CC38" s="215"/>
      <c r="CD38" s="215"/>
      <c r="CF38" s="180"/>
      <c r="CG38" s="181"/>
      <c r="CH38" s="181"/>
      <c r="CI38" s="181"/>
      <c r="CJ38" s="181"/>
      <c r="CK38" s="181"/>
      <c r="CL38" s="181"/>
      <c r="CM38" s="181"/>
      <c r="CN38" s="181"/>
      <c r="CO38" s="181"/>
      <c r="CP38" s="181"/>
      <c r="CQ38" s="181"/>
      <c r="CR38" s="181"/>
      <c r="CS38" s="181"/>
      <c r="CT38" s="181"/>
      <c r="CU38" s="181"/>
      <c r="CV38" s="181"/>
      <c r="CW38" s="181"/>
      <c r="CX38" s="181"/>
      <c r="CY38" s="181"/>
      <c r="CZ38" s="181"/>
      <c r="DA38" s="181"/>
      <c r="DB38" s="181"/>
      <c r="DC38" s="181"/>
      <c r="DD38" s="181"/>
      <c r="DE38" s="181"/>
      <c r="DF38" s="181"/>
      <c r="DG38" s="181"/>
      <c r="DH38" s="181"/>
      <c r="DI38" s="181"/>
      <c r="DJ38" s="181"/>
      <c r="DK38" s="181"/>
      <c r="DL38" s="181"/>
      <c r="DM38" s="181"/>
      <c r="DN38" s="182"/>
      <c r="DO38" s="180"/>
      <c r="DP38" s="181"/>
      <c r="DQ38" s="181"/>
      <c r="DR38" s="181"/>
      <c r="DS38" s="182"/>
    </row>
    <row r="39" spans="1:123" ht="6" customHeight="1" x14ac:dyDescent="0.35">
      <c r="A39" s="156" t="s">
        <v>19</v>
      </c>
      <c r="B39" s="156"/>
      <c r="C39" s="156"/>
      <c r="D39" s="156"/>
      <c r="E39" s="134" t="s">
        <v>43</v>
      </c>
      <c r="F39" s="134"/>
      <c r="G39" s="134"/>
      <c r="H39" s="134"/>
      <c r="I39" s="134"/>
      <c r="J39" s="134"/>
      <c r="K39" s="134"/>
      <c r="L39" s="134"/>
      <c r="M39" s="134"/>
      <c r="N39" s="134"/>
      <c r="O39" s="134"/>
      <c r="P39" s="134"/>
      <c r="Q39" s="134"/>
      <c r="R39" s="134"/>
      <c r="S39" s="134"/>
      <c r="T39" s="134"/>
      <c r="U39" s="134"/>
      <c r="V39" s="134"/>
      <c r="W39" s="134"/>
      <c r="X39" s="134"/>
      <c r="Y39" s="134"/>
      <c r="Z39" s="134"/>
      <c r="AA39" s="134"/>
      <c r="AB39" s="119"/>
      <c r="AC39" s="119"/>
      <c r="AD39" s="119"/>
      <c r="AE39" s="119"/>
      <c r="AF39" s="119"/>
      <c r="AG39" s="119"/>
      <c r="AH39" s="154"/>
      <c r="AI39" s="154"/>
      <c r="AJ39" s="154"/>
      <c r="AK39" s="166"/>
      <c r="AL39" s="148"/>
      <c r="AM39" s="149"/>
      <c r="AN39" s="149"/>
      <c r="AO39" s="150"/>
      <c r="AP39" s="153"/>
      <c r="AQ39" s="154"/>
      <c r="AR39" s="154"/>
      <c r="AS39" s="155"/>
      <c r="AU39" s="215"/>
      <c r="AV39" s="215"/>
      <c r="AW39" s="215"/>
      <c r="AX39" s="215"/>
      <c r="AY39" s="215"/>
      <c r="AZ39" s="215"/>
      <c r="BA39" s="215"/>
      <c r="BB39" s="215"/>
      <c r="BC39" s="215"/>
      <c r="BD39" s="215"/>
      <c r="BE39" s="215"/>
      <c r="BF39" s="215"/>
      <c r="BG39" s="215"/>
      <c r="BH39" s="215"/>
      <c r="BI39" s="215"/>
      <c r="BJ39" s="215"/>
      <c r="BK39" s="215"/>
      <c r="BL39" s="215"/>
      <c r="BM39" s="215"/>
      <c r="BN39" s="215"/>
      <c r="BO39" s="215"/>
      <c r="BP39" s="215"/>
      <c r="BQ39" s="215"/>
      <c r="BR39" s="215"/>
      <c r="BS39" s="215"/>
      <c r="BT39" s="215"/>
      <c r="BU39" s="215"/>
      <c r="BV39" s="215"/>
      <c r="BW39" s="215"/>
      <c r="BX39" s="215"/>
      <c r="BY39" s="215"/>
      <c r="BZ39" s="215"/>
      <c r="CA39" s="215"/>
      <c r="CB39" s="215"/>
      <c r="CC39" s="215"/>
      <c r="CD39" s="215"/>
      <c r="CF39" s="81"/>
      <c r="CG39" s="82"/>
      <c r="CH39" s="82"/>
      <c r="CI39" s="82"/>
      <c r="CJ39" s="82"/>
      <c r="CK39" s="82"/>
      <c r="CL39" s="82"/>
      <c r="CM39" s="82"/>
      <c r="CN39" s="82"/>
      <c r="CO39" s="82"/>
      <c r="CP39" s="82"/>
      <c r="CQ39" s="82"/>
      <c r="CR39" s="82"/>
      <c r="CS39" s="82"/>
      <c r="CT39" s="82"/>
      <c r="CU39" s="82"/>
      <c r="CV39" s="82"/>
      <c r="CW39" s="82"/>
      <c r="CX39" s="82"/>
      <c r="CY39" s="82"/>
      <c r="CZ39" s="82"/>
      <c r="DA39" s="82"/>
      <c r="DB39" s="82"/>
      <c r="DC39" s="82"/>
      <c r="DD39" s="82"/>
      <c r="DE39" s="82"/>
      <c r="DF39" s="82"/>
      <c r="DG39" s="82"/>
      <c r="DH39" s="82"/>
      <c r="DI39" s="82"/>
      <c r="DJ39" s="82"/>
      <c r="DK39" s="82"/>
      <c r="DL39" s="82"/>
      <c r="DM39" s="82"/>
      <c r="DN39" s="83"/>
      <c r="DO39" s="81"/>
      <c r="DP39" s="82"/>
      <c r="DQ39" s="82"/>
      <c r="DR39" s="82"/>
      <c r="DS39" s="83"/>
    </row>
    <row r="40" spans="1:123" ht="6" customHeight="1" x14ac:dyDescent="0.35">
      <c r="A40" s="156"/>
      <c r="B40" s="156"/>
      <c r="C40" s="156"/>
      <c r="D40" s="156"/>
      <c r="E40" s="134"/>
      <c r="F40" s="134"/>
      <c r="G40" s="134"/>
      <c r="H40" s="134"/>
      <c r="I40" s="134"/>
      <c r="J40" s="134"/>
      <c r="K40" s="134"/>
      <c r="L40" s="134"/>
      <c r="M40" s="134"/>
      <c r="N40" s="134"/>
      <c r="O40" s="134"/>
      <c r="P40" s="134"/>
      <c r="Q40" s="134"/>
      <c r="R40" s="134"/>
      <c r="S40" s="134"/>
      <c r="T40" s="134"/>
      <c r="U40" s="134"/>
      <c r="V40" s="134"/>
      <c r="W40" s="134"/>
      <c r="X40" s="134"/>
      <c r="Y40" s="134"/>
      <c r="Z40" s="134"/>
      <c r="AA40" s="134"/>
      <c r="AB40" s="119"/>
      <c r="AC40" s="119"/>
      <c r="AD40" s="119"/>
      <c r="AE40" s="119"/>
      <c r="AF40" s="119"/>
      <c r="AG40" s="119"/>
      <c r="AH40" s="135" t="s">
        <v>29</v>
      </c>
      <c r="AI40" s="157"/>
      <c r="AJ40" s="161"/>
      <c r="AK40" s="127"/>
      <c r="AL40" s="127"/>
      <c r="AM40" s="162"/>
      <c r="AN40" s="135" t="s">
        <v>21</v>
      </c>
      <c r="AO40" s="157"/>
      <c r="AP40" s="161">
        <f>P41</f>
        <v>0</v>
      </c>
      <c r="AQ40" s="127"/>
      <c r="AR40" s="127"/>
      <c r="AS40" s="128"/>
      <c r="AU40" s="215"/>
      <c r="AV40" s="215"/>
      <c r="AW40" s="215"/>
      <c r="AX40" s="215"/>
      <c r="AY40" s="215"/>
      <c r="AZ40" s="215"/>
      <c r="BA40" s="215"/>
      <c r="BB40" s="215"/>
      <c r="BC40" s="215"/>
      <c r="BD40" s="215"/>
      <c r="BE40" s="215"/>
      <c r="BF40" s="215"/>
      <c r="BG40" s="215"/>
      <c r="BH40" s="215"/>
      <c r="BI40" s="215"/>
      <c r="BJ40" s="215"/>
      <c r="BK40" s="215"/>
      <c r="BL40" s="215"/>
      <c r="BM40" s="215"/>
      <c r="BN40" s="215"/>
      <c r="BO40" s="215"/>
      <c r="BP40" s="215"/>
      <c r="BQ40" s="215"/>
      <c r="BR40" s="215"/>
      <c r="BS40" s="215"/>
      <c r="BT40" s="215"/>
      <c r="BU40" s="215"/>
      <c r="BV40" s="215"/>
      <c r="BW40" s="215"/>
      <c r="BX40" s="215"/>
      <c r="BY40" s="215"/>
      <c r="BZ40" s="215"/>
      <c r="CA40" s="215"/>
      <c r="CB40" s="215"/>
      <c r="CC40" s="215"/>
      <c r="CD40" s="215"/>
    </row>
    <row r="41" spans="1:123" ht="6" customHeight="1" x14ac:dyDescent="0.35">
      <c r="A41" s="137" t="s">
        <v>54</v>
      </c>
      <c r="B41" s="138"/>
      <c r="C41" s="138"/>
      <c r="D41" s="139"/>
      <c r="E41" s="69"/>
      <c r="F41" s="70"/>
      <c r="G41" s="70"/>
      <c r="H41" s="70"/>
      <c r="I41" s="70"/>
      <c r="J41" s="70"/>
      <c r="K41" s="70"/>
      <c r="L41" s="70"/>
      <c r="M41" s="70"/>
      <c r="N41" s="70"/>
      <c r="O41" s="71"/>
      <c r="P41" s="69"/>
      <c r="Q41" s="71"/>
      <c r="R41" s="116"/>
      <c r="S41" s="116"/>
      <c r="T41" s="116"/>
      <c r="U41" s="116"/>
      <c r="V41" s="116"/>
      <c r="W41" s="116"/>
      <c r="X41" s="116"/>
      <c r="Y41" s="116"/>
      <c r="Z41" s="116"/>
      <c r="AA41" s="116"/>
      <c r="AB41" s="116"/>
      <c r="AC41" s="116"/>
      <c r="AD41" s="116"/>
      <c r="AE41" s="116"/>
      <c r="AF41" s="119">
        <f>_AE_CCost_4</f>
        <v>0</v>
      </c>
      <c r="AG41" s="119"/>
      <c r="AH41" s="118"/>
      <c r="AI41" s="158"/>
      <c r="AJ41" s="146"/>
      <c r="AK41" s="117"/>
      <c r="AL41" s="117"/>
      <c r="AM41" s="147"/>
      <c r="AN41" s="118"/>
      <c r="AO41" s="158"/>
      <c r="AP41" s="146"/>
      <c r="AQ41" s="117"/>
      <c r="AR41" s="117"/>
      <c r="AS41" s="129"/>
      <c r="AU41" s="253" t="s">
        <v>9</v>
      </c>
      <c r="AV41" s="254"/>
      <c r="AW41" s="254"/>
      <c r="AX41" s="254"/>
      <c r="AY41" s="254"/>
      <c r="AZ41" s="254"/>
      <c r="BA41" s="254"/>
      <c r="BB41" s="254"/>
      <c r="BC41" s="254"/>
      <c r="BD41" s="254" t="s">
        <v>10</v>
      </c>
      <c r="BE41" s="254"/>
      <c r="BF41" s="254"/>
      <c r="BG41" s="254"/>
      <c r="BH41" s="254"/>
      <c r="BI41" s="254"/>
      <c r="BJ41" s="254"/>
      <c r="BK41" s="254"/>
      <c r="BL41" s="254"/>
      <c r="BM41" s="196" t="s">
        <v>10</v>
      </c>
      <c r="BN41" s="196"/>
      <c r="BO41" s="196"/>
      <c r="BP41" s="196"/>
      <c r="BQ41" s="196"/>
      <c r="BR41" s="196"/>
      <c r="BS41" s="196"/>
      <c r="BT41" s="196"/>
      <c r="BU41" s="196"/>
      <c r="BV41" s="196" t="s">
        <v>9</v>
      </c>
      <c r="BW41" s="196"/>
      <c r="BX41" s="196"/>
      <c r="BY41" s="196"/>
      <c r="BZ41" s="196"/>
      <c r="CA41" s="196"/>
      <c r="CB41" s="196"/>
      <c r="CC41" s="196"/>
      <c r="CD41" s="197"/>
      <c r="CF41" s="241" t="s">
        <v>232</v>
      </c>
      <c r="CG41" s="241"/>
      <c r="CH41" s="241"/>
      <c r="CI41" s="241"/>
      <c r="CJ41" s="241"/>
      <c r="CK41" s="241"/>
      <c r="CL41" s="241"/>
      <c r="CM41" s="241"/>
      <c r="CN41" s="241"/>
      <c r="CO41" s="241"/>
      <c r="CP41" s="241"/>
      <c r="CQ41" s="241"/>
      <c r="CR41" s="241"/>
      <c r="CS41" s="241"/>
      <c r="CT41" s="241"/>
      <c r="CU41" s="241"/>
      <c r="CV41" s="241"/>
      <c r="CW41" s="241"/>
      <c r="CX41" s="241"/>
      <c r="CY41" s="241"/>
      <c r="CZ41" s="241"/>
      <c r="DA41" s="241"/>
      <c r="DB41" s="240" t="s">
        <v>72</v>
      </c>
      <c r="DC41" s="240"/>
      <c r="DD41" s="240"/>
      <c r="DE41" s="240"/>
      <c r="DF41" s="240"/>
      <c r="DG41" s="240"/>
      <c r="DH41" s="240" t="s">
        <v>16</v>
      </c>
      <c r="DI41" s="240"/>
      <c r="DJ41" s="240"/>
      <c r="DK41" s="240"/>
      <c r="DL41" s="240" t="s">
        <v>17</v>
      </c>
      <c r="DM41" s="240"/>
      <c r="DN41" s="240"/>
      <c r="DO41" s="240"/>
      <c r="DP41" s="240" t="s">
        <v>15</v>
      </c>
      <c r="DQ41" s="240"/>
      <c r="DR41" s="240"/>
      <c r="DS41" s="240"/>
    </row>
    <row r="42" spans="1:123" ht="6" customHeight="1" x14ac:dyDescent="0.35">
      <c r="A42" s="137"/>
      <c r="B42" s="138"/>
      <c r="C42" s="138"/>
      <c r="D42" s="139"/>
      <c r="E42" s="75"/>
      <c r="F42" s="76"/>
      <c r="G42" s="76"/>
      <c r="H42" s="76"/>
      <c r="I42" s="76"/>
      <c r="J42" s="76"/>
      <c r="K42" s="76"/>
      <c r="L42" s="76"/>
      <c r="M42" s="76"/>
      <c r="N42" s="76"/>
      <c r="O42" s="77"/>
      <c r="P42" s="75"/>
      <c r="Q42" s="77"/>
      <c r="R42" s="116"/>
      <c r="S42" s="116"/>
      <c r="T42" s="116"/>
      <c r="U42" s="116"/>
      <c r="V42" s="116"/>
      <c r="W42" s="116"/>
      <c r="X42" s="116"/>
      <c r="Y42" s="116"/>
      <c r="Z42" s="116"/>
      <c r="AA42" s="116"/>
      <c r="AB42" s="116"/>
      <c r="AC42" s="116"/>
      <c r="AD42" s="116"/>
      <c r="AE42" s="116"/>
      <c r="AF42" s="119"/>
      <c r="AG42" s="119"/>
      <c r="AH42" s="159"/>
      <c r="AI42" s="160"/>
      <c r="AJ42" s="148"/>
      <c r="AK42" s="149"/>
      <c r="AL42" s="149"/>
      <c r="AM42" s="150"/>
      <c r="AN42" s="159"/>
      <c r="AO42" s="160"/>
      <c r="AP42" s="148"/>
      <c r="AQ42" s="149"/>
      <c r="AR42" s="149"/>
      <c r="AS42" s="163"/>
      <c r="AU42" s="202"/>
      <c r="AV42" s="203"/>
      <c r="AW42" s="203"/>
      <c r="AX42" s="203"/>
      <c r="AY42" s="203"/>
      <c r="AZ42" s="203"/>
      <c r="BA42" s="203"/>
      <c r="BB42" s="203"/>
      <c r="BC42" s="203"/>
      <c r="BD42" s="203"/>
      <c r="BE42" s="203"/>
      <c r="BF42" s="203"/>
      <c r="BG42" s="203"/>
      <c r="BH42" s="203"/>
      <c r="BI42" s="203"/>
      <c r="BJ42" s="203"/>
      <c r="BK42" s="203"/>
      <c r="BL42" s="203"/>
      <c r="BM42" s="198"/>
      <c r="BN42" s="198"/>
      <c r="BO42" s="198"/>
      <c r="BP42" s="198"/>
      <c r="BQ42" s="198"/>
      <c r="BR42" s="198"/>
      <c r="BS42" s="198"/>
      <c r="BT42" s="198"/>
      <c r="BU42" s="198"/>
      <c r="BV42" s="198"/>
      <c r="BW42" s="198"/>
      <c r="BX42" s="198"/>
      <c r="BY42" s="198"/>
      <c r="BZ42" s="198"/>
      <c r="CA42" s="198"/>
      <c r="CB42" s="198"/>
      <c r="CC42" s="198"/>
      <c r="CD42" s="199"/>
      <c r="CF42" s="242"/>
      <c r="CG42" s="242"/>
      <c r="CH42" s="242"/>
      <c r="CI42" s="242"/>
      <c r="CJ42" s="242"/>
      <c r="CK42" s="242"/>
      <c r="CL42" s="242"/>
      <c r="CM42" s="242"/>
      <c r="CN42" s="242"/>
      <c r="CO42" s="242"/>
      <c r="CP42" s="242"/>
      <c r="CQ42" s="242"/>
      <c r="CR42" s="242"/>
      <c r="CS42" s="242"/>
      <c r="CT42" s="242"/>
      <c r="CU42" s="242"/>
      <c r="CV42" s="242"/>
      <c r="CW42" s="242"/>
      <c r="CX42" s="242"/>
      <c r="CY42" s="242"/>
      <c r="CZ42" s="242"/>
      <c r="DA42" s="242"/>
      <c r="DB42" s="243"/>
      <c r="DC42" s="243"/>
      <c r="DD42" s="243"/>
      <c r="DE42" s="243"/>
      <c r="DF42" s="243"/>
      <c r="DG42" s="243"/>
      <c r="DH42" s="240"/>
      <c r="DI42" s="240"/>
      <c r="DJ42" s="240"/>
      <c r="DK42" s="240"/>
      <c r="DL42" s="240"/>
      <c r="DM42" s="240"/>
      <c r="DN42" s="240"/>
      <c r="DO42" s="240"/>
      <c r="DP42" s="240"/>
      <c r="DQ42" s="240"/>
      <c r="DR42" s="240"/>
      <c r="DS42" s="240"/>
    </row>
    <row r="43" spans="1:123" ht="6" customHeight="1" x14ac:dyDescent="0.35">
      <c r="A43" s="137"/>
      <c r="B43" s="138"/>
      <c r="C43" s="138"/>
      <c r="D43" s="139"/>
      <c r="E43" s="123"/>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c r="AF43" s="124"/>
      <c r="AG43" s="124"/>
      <c r="AH43" s="124"/>
      <c r="AI43" s="124"/>
      <c r="AJ43" s="124"/>
      <c r="AK43" s="124"/>
      <c r="AL43" s="124"/>
      <c r="AM43" s="135" t="s">
        <v>22</v>
      </c>
      <c r="AN43" s="135"/>
      <c r="AO43" s="135"/>
      <c r="AP43" s="127">
        <f>IFERROR(ATR_4-MAX(A_Bulk_4,AR_Bulk),"")</f>
        <v>2</v>
      </c>
      <c r="AQ43" s="127"/>
      <c r="AR43" s="127"/>
      <c r="AS43" s="128"/>
      <c r="CF43" s="156" t="s">
        <v>18</v>
      </c>
      <c r="CG43" s="156"/>
      <c r="CH43" s="156"/>
      <c r="CI43" s="156"/>
      <c r="CJ43" s="68" t="s">
        <v>217</v>
      </c>
      <c r="CK43" s="68"/>
      <c r="CL43" s="68"/>
      <c r="CM43" s="68"/>
      <c r="CN43" s="68"/>
      <c r="CO43" s="68"/>
      <c r="CP43" s="68"/>
      <c r="CQ43" s="68"/>
      <c r="CR43" s="68"/>
      <c r="CS43" s="68"/>
      <c r="CT43" s="68"/>
      <c r="CU43" s="68"/>
      <c r="CV43" s="68"/>
      <c r="CW43" s="68"/>
      <c r="CX43" s="68"/>
      <c r="CY43" s="68"/>
      <c r="CZ43" s="68"/>
      <c r="DA43" s="68"/>
      <c r="DB43" s="119" t="str">
        <f>_xlfn.XLOOKUP(CJ45,BroadSkills,BroadSkillAspects,"",0,1)</f>
        <v>Mind</v>
      </c>
      <c r="DC43" s="119"/>
      <c r="DD43" s="119"/>
      <c r="DE43" s="119"/>
      <c r="DF43" s="119"/>
      <c r="DG43" s="119"/>
      <c r="DH43" s="116">
        <v>3</v>
      </c>
      <c r="DI43" s="116"/>
      <c r="DJ43" s="116"/>
      <c r="DK43" s="116"/>
      <c r="DL43" s="117">
        <f>IF(_OCTR_1&gt;0,_OCTR_1,"")</f>
        <v>1</v>
      </c>
      <c r="DM43" s="117"/>
      <c r="DN43" s="117"/>
      <c r="DO43" s="117"/>
      <c r="DP43" s="116">
        <v>9</v>
      </c>
      <c r="DQ43" s="116"/>
      <c r="DR43" s="116"/>
      <c r="DS43" s="116"/>
    </row>
    <row r="44" spans="1:123" ht="6" customHeight="1" x14ac:dyDescent="0.35">
      <c r="A44" s="137"/>
      <c r="B44" s="138"/>
      <c r="C44" s="138"/>
      <c r="D44" s="139"/>
      <c r="E44" s="125"/>
      <c r="F44" s="126"/>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18"/>
      <c r="AN44" s="118"/>
      <c r="AO44" s="118"/>
      <c r="AP44" s="117"/>
      <c r="AQ44" s="117"/>
      <c r="AR44" s="117"/>
      <c r="AS44" s="129"/>
      <c r="AU44" s="270" t="s">
        <v>55</v>
      </c>
      <c r="AV44" s="270"/>
      <c r="AW44" s="270"/>
      <c r="AX44" s="270"/>
      <c r="AY44" s="270"/>
      <c r="AZ44" s="270"/>
      <c r="BA44" s="270"/>
      <c r="BB44" s="270"/>
      <c r="BC44" s="270"/>
      <c r="BD44" s="270"/>
      <c r="BE44" s="270"/>
      <c r="BF44" s="270"/>
      <c r="BG44" s="272" t="s">
        <v>23</v>
      </c>
      <c r="BH44" s="273"/>
      <c r="BI44" s="186"/>
      <c r="BJ44" s="186"/>
      <c r="BK44" s="186"/>
      <c r="BL44" s="186"/>
      <c r="BM44" s="286" t="s">
        <v>56</v>
      </c>
      <c r="BN44" s="286"/>
      <c r="BO44" s="286"/>
      <c r="BP44" s="286"/>
      <c r="BQ44" s="286"/>
      <c r="BR44" s="286"/>
      <c r="BS44" s="286"/>
      <c r="BT44" s="286"/>
      <c r="BU44" s="286"/>
      <c r="BV44" s="286"/>
      <c r="BW44" s="286"/>
      <c r="BX44" s="286"/>
      <c r="BY44" s="286"/>
      <c r="BZ44" s="286"/>
      <c r="CA44" s="286"/>
      <c r="CB44" s="286"/>
      <c r="CC44" s="286"/>
      <c r="CD44" s="286"/>
      <c r="CF44" s="156"/>
      <c r="CG44" s="156"/>
      <c r="CH44" s="156"/>
      <c r="CI44" s="156"/>
      <c r="CJ44" s="68"/>
      <c r="CK44" s="68"/>
      <c r="CL44" s="68"/>
      <c r="CM44" s="68"/>
      <c r="CN44" s="68"/>
      <c r="CO44" s="68"/>
      <c r="CP44" s="68"/>
      <c r="CQ44" s="68"/>
      <c r="CR44" s="68"/>
      <c r="CS44" s="68"/>
      <c r="CT44" s="68"/>
      <c r="CU44" s="68"/>
      <c r="CV44" s="68"/>
      <c r="CW44" s="68"/>
      <c r="CX44" s="68"/>
      <c r="CY44" s="68"/>
      <c r="CZ44" s="68"/>
      <c r="DA44" s="68"/>
      <c r="DB44" s="119"/>
      <c r="DC44" s="119"/>
      <c r="DD44" s="119"/>
      <c r="DE44" s="119"/>
      <c r="DF44" s="119"/>
      <c r="DG44" s="119"/>
      <c r="DH44" s="116"/>
      <c r="DI44" s="116"/>
      <c r="DJ44" s="116"/>
      <c r="DK44" s="116"/>
      <c r="DL44" s="117"/>
      <c r="DM44" s="117"/>
      <c r="DN44" s="117"/>
      <c r="DO44" s="117"/>
      <c r="DP44" s="116"/>
      <c r="DQ44" s="116"/>
      <c r="DR44" s="116"/>
      <c r="DS44" s="116"/>
    </row>
    <row r="45" spans="1:123" ht="6" customHeight="1" x14ac:dyDescent="0.35">
      <c r="A45" s="137"/>
      <c r="B45" s="138"/>
      <c r="C45" s="138"/>
      <c r="D45" s="139"/>
      <c r="E45" s="123"/>
      <c r="F45" s="124"/>
      <c r="G45" s="124"/>
      <c r="H45" s="124"/>
      <c r="I45" s="124"/>
      <c r="J45" s="124"/>
      <c r="K45" s="124"/>
      <c r="L45" s="124"/>
      <c r="M45" s="124"/>
      <c r="N45" s="124"/>
      <c r="O45" s="124"/>
      <c r="P45" s="124"/>
      <c r="Q45" s="124"/>
      <c r="R45" s="124"/>
      <c r="S45" s="124"/>
      <c r="T45" s="124"/>
      <c r="U45" s="124"/>
      <c r="V45" s="124"/>
      <c r="W45" s="124"/>
      <c r="X45" s="124"/>
      <c r="Y45" s="124"/>
      <c r="Z45" s="124"/>
      <c r="AA45" s="124"/>
      <c r="AB45" s="124"/>
      <c r="AC45" s="124"/>
      <c r="AD45" s="124"/>
      <c r="AE45" s="124"/>
      <c r="AF45" s="124"/>
      <c r="AG45" s="124"/>
      <c r="AH45" s="124"/>
      <c r="AI45" s="124"/>
      <c r="AJ45" s="124"/>
      <c r="AK45" s="124"/>
      <c r="AL45" s="124"/>
      <c r="AM45" s="118"/>
      <c r="AN45" s="118"/>
      <c r="AO45" s="118"/>
      <c r="AP45" s="117"/>
      <c r="AQ45" s="117"/>
      <c r="AR45" s="117"/>
      <c r="AS45" s="129"/>
      <c r="AU45" s="270"/>
      <c r="AV45" s="270"/>
      <c r="AW45" s="270"/>
      <c r="AX45" s="270"/>
      <c r="AY45" s="270"/>
      <c r="AZ45" s="270"/>
      <c r="BA45" s="270"/>
      <c r="BB45" s="270"/>
      <c r="BC45" s="270"/>
      <c r="BD45" s="270"/>
      <c r="BE45" s="270"/>
      <c r="BF45" s="270"/>
      <c r="BG45" s="272"/>
      <c r="BH45" s="273"/>
      <c r="BI45" s="186"/>
      <c r="BJ45" s="186"/>
      <c r="BK45" s="186"/>
      <c r="BL45" s="186"/>
      <c r="BM45" s="286"/>
      <c r="BN45" s="286"/>
      <c r="BO45" s="286"/>
      <c r="BP45" s="286"/>
      <c r="BQ45" s="286"/>
      <c r="BR45" s="286"/>
      <c r="BS45" s="286"/>
      <c r="BT45" s="286"/>
      <c r="BU45" s="286"/>
      <c r="BV45" s="286"/>
      <c r="BW45" s="286"/>
      <c r="BX45" s="286"/>
      <c r="BY45" s="286"/>
      <c r="BZ45" s="286"/>
      <c r="CA45" s="286"/>
      <c r="CB45" s="286"/>
      <c r="CC45" s="286"/>
      <c r="CD45" s="286"/>
      <c r="CF45" s="156" t="s">
        <v>19</v>
      </c>
      <c r="CG45" s="156"/>
      <c r="CH45" s="156"/>
      <c r="CI45" s="156"/>
      <c r="CJ45" s="68" t="s">
        <v>45</v>
      </c>
      <c r="CK45" s="68"/>
      <c r="CL45" s="68"/>
      <c r="CM45" s="68"/>
      <c r="CN45" s="68"/>
      <c r="CO45" s="68"/>
      <c r="CP45" s="68"/>
      <c r="CQ45" s="68"/>
      <c r="CR45" s="68"/>
      <c r="CS45" s="68"/>
      <c r="CT45" s="68"/>
      <c r="CU45" s="68"/>
      <c r="CV45" s="68"/>
      <c r="CW45" s="68"/>
      <c r="CX45" s="68"/>
      <c r="CY45" s="68"/>
      <c r="CZ45" s="68"/>
      <c r="DA45" s="68"/>
      <c r="DB45" s="119"/>
      <c r="DC45" s="119"/>
      <c r="DD45" s="119"/>
      <c r="DE45" s="119"/>
      <c r="DF45" s="119"/>
      <c r="DG45" s="119"/>
      <c r="DH45" s="116"/>
      <c r="DI45" s="116"/>
      <c r="DJ45" s="116"/>
      <c r="DK45" s="116"/>
      <c r="DL45" s="117"/>
      <c r="DM45" s="117"/>
      <c r="DN45" s="117"/>
      <c r="DO45" s="117"/>
      <c r="DP45" s="116"/>
      <c r="DQ45" s="116"/>
      <c r="DR45" s="116"/>
      <c r="DS45" s="116"/>
    </row>
    <row r="46" spans="1:123" ht="6" customHeight="1" x14ac:dyDescent="0.35">
      <c r="A46" s="140"/>
      <c r="B46" s="141"/>
      <c r="C46" s="141"/>
      <c r="D46" s="142"/>
      <c r="E46" s="132"/>
      <c r="F46" s="133"/>
      <c r="G46" s="133"/>
      <c r="H46" s="133"/>
      <c r="I46" s="133"/>
      <c r="J46" s="133"/>
      <c r="K46" s="133"/>
      <c r="L46" s="133"/>
      <c r="M46" s="133"/>
      <c r="N46" s="133"/>
      <c r="O46" s="133"/>
      <c r="P46" s="133"/>
      <c r="Q46" s="133"/>
      <c r="R46" s="133"/>
      <c r="S46" s="133"/>
      <c r="T46" s="133"/>
      <c r="U46" s="133"/>
      <c r="V46" s="133"/>
      <c r="W46" s="133"/>
      <c r="X46" s="133"/>
      <c r="Y46" s="133"/>
      <c r="Z46" s="133"/>
      <c r="AA46" s="133"/>
      <c r="AB46" s="133"/>
      <c r="AC46" s="133"/>
      <c r="AD46" s="133"/>
      <c r="AE46" s="133"/>
      <c r="AF46" s="133"/>
      <c r="AG46" s="133"/>
      <c r="AH46" s="133"/>
      <c r="AI46" s="133"/>
      <c r="AJ46" s="133"/>
      <c r="AK46" s="133"/>
      <c r="AL46" s="133"/>
      <c r="AM46" s="136"/>
      <c r="AN46" s="136"/>
      <c r="AO46" s="136"/>
      <c r="AP46" s="130"/>
      <c r="AQ46" s="130"/>
      <c r="AR46" s="130"/>
      <c r="AS46" s="131"/>
      <c r="AU46" s="271"/>
      <c r="AV46" s="271"/>
      <c r="AW46" s="271"/>
      <c r="AX46" s="271"/>
      <c r="AY46" s="271"/>
      <c r="AZ46" s="271"/>
      <c r="BA46" s="271"/>
      <c r="BB46" s="271"/>
      <c r="BC46" s="271"/>
      <c r="BD46" s="271"/>
      <c r="BE46" s="271"/>
      <c r="BF46" s="271"/>
      <c r="BG46" s="273"/>
      <c r="BH46" s="273"/>
      <c r="BI46" s="186"/>
      <c r="BJ46" s="186"/>
      <c r="BK46" s="186"/>
      <c r="BL46" s="186"/>
      <c r="BM46" s="287"/>
      <c r="BN46" s="287"/>
      <c r="BO46" s="287"/>
      <c r="BP46" s="287"/>
      <c r="BQ46" s="287"/>
      <c r="BR46" s="287"/>
      <c r="BS46" s="287"/>
      <c r="BT46" s="287"/>
      <c r="BU46" s="287"/>
      <c r="BV46" s="287"/>
      <c r="BW46" s="287"/>
      <c r="BX46" s="287"/>
      <c r="BY46" s="287"/>
      <c r="BZ46" s="287"/>
      <c r="CA46" s="287"/>
      <c r="CB46" s="287"/>
      <c r="CC46" s="287"/>
      <c r="CD46" s="287"/>
      <c r="CF46" s="156"/>
      <c r="CG46" s="156"/>
      <c r="CH46" s="156"/>
      <c r="CI46" s="156"/>
      <c r="CJ46" s="68"/>
      <c r="CK46" s="68"/>
      <c r="CL46" s="68"/>
      <c r="CM46" s="68"/>
      <c r="CN46" s="68"/>
      <c r="CO46" s="68"/>
      <c r="CP46" s="68"/>
      <c r="CQ46" s="68"/>
      <c r="CR46" s="68"/>
      <c r="CS46" s="68"/>
      <c r="CT46" s="68"/>
      <c r="CU46" s="68"/>
      <c r="CV46" s="68"/>
      <c r="CW46" s="68"/>
      <c r="CX46" s="68"/>
      <c r="CY46" s="68"/>
      <c r="CZ46" s="68"/>
      <c r="DA46" s="68"/>
      <c r="DB46" s="119"/>
      <c r="DC46" s="119"/>
      <c r="DD46" s="119"/>
      <c r="DE46" s="119"/>
      <c r="DF46" s="119"/>
      <c r="DG46" s="119"/>
      <c r="DH46" s="116"/>
      <c r="DI46" s="116"/>
      <c r="DJ46" s="116"/>
      <c r="DK46" s="116"/>
      <c r="DN46" s="118" t="s">
        <v>29</v>
      </c>
      <c r="DO46" s="118"/>
      <c r="DP46" s="119"/>
      <c r="DQ46" s="119"/>
      <c r="DR46" s="119"/>
      <c r="DS46" s="119"/>
    </row>
    <row r="47" spans="1:123" ht="6" customHeight="1" x14ac:dyDescent="0.35">
      <c r="A47" s="156" t="s">
        <v>18</v>
      </c>
      <c r="B47" s="156"/>
      <c r="C47" s="156"/>
      <c r="D47" s="156"/>
      <c r="E47" s="134" t="s">
        <v>213</v>
      </c>
      <c r="F47" s="134"/>
      <c r="G47" s="134"/>
      <c r="H47" s="134"/>
      <c r="I47" s="134"/>
      <c r="J47" s="134"/>
      <c r="K47" s="134"/>
      <c r="L47" s="134"/>
      <c r="M47" s="134"/>
      <c r="N47" s="134"/>
      <c r="O47" s="134"/>
      <c r="P47" s="134"/>
      <c r="Q47" s="134"/>
      <c r="R47" s="134"/>
      <c r="S47" s="134"/>
      <c r="T47" s="134"/>
      <c r="U47" s="134"/>
      <c r="V47" s="134"/>
      <c r="W47" s="134"/>
      <c r="X47" s="134"/>
      <c r="Y47" s="134"/>
      <c r="Z47" s="134"/>
      <c r="AA47" s="134"/>
      <c r="AB47" s="119" t="str">
        <f>_xlfn.XLOOKUP(E49,BroadSkills,BroadSkillAspects,"",0,1)</f>
        <v>Mind</v>
      </c>
      <c r="AC47" s="119"/>
      <c r="AD47" s="119"/>
      <c r="AE47" s="119"/>
      <c r="AF47" s="119"/>
      <c r="AG47" s="119"/>
      <c r="AH47" s="70">
        <v>3</v>
      </c>
      <c r="AI47" s="70"/>
      <c r="AJ47" s="70"/>
      <c r="AK47" s="164"/>
      <c r="AL47" s="143">
        <f>IF(_ACTR_5&gt;0,_ACTR_5,"")</f>
        <v>1</v>
      </c>
      <c r="AM47" s="144"/>
      <c r="AN47" s="144"/>
      <c r="AO47" s="145"/>
      <c r="AP47" s="151">
        <v>9</v>
      </c>
      <c r="AQ47" s="70"/>
      <c r="AR47" s="70"/>
      <c r="AS47" s="71"/>
      <c r="AU47" s="215"/>
      <c r="AV47" s="215"/>
      <c r="AW47" s="215"/>
      <c r="AX47" s="215"/>
      <c r="AY47" s="215"/>
      <c r="AZ47" s="215"/>
      <c r="BA47" s="215"/>
      <c r="BB47" s="215"/>
      <c r="BC47" s="215"/>
      <c r="BD47" s="215"/>
      <c r="BE47" s="215"/>
      <c r="BF47" s="215"/>
      <c r="BG47" s="215"/>
      <c r="BH47" s="215"/>
      <c r="BI47" s="215"/>
      <c r="BJ47" s="215"/>
      <c r="BK47" s="215"/>
      <c r="BL47" s="215"/>
      <c r="BM47" s="255"/>
      <c r="BN47" s="255"/>
      <c r="BO47" s="255"/>
      <c r="BP47" s="255"/>
      <c r="BQ47" s="255"/>
      <c r="BR47" s="255"/>
      <c r="BS47" s="255"/>
      <c r="BT47" s="255"/>
      <c r="BU47" s="255"/>
      <c r="BV47" s="255"/>
      <c r="BW47" s="255"/>
      <c r="BX47" s="255"/>
      <c r="BY47" s="255"/>
      <c r="BZ47" s="255"/>
      <c r="CA47" s="255"/>
      <c r="CB47" s="255"/>
      <c r="CC47" s="255"/>
      <c r="CD47" s="255"/>
      <c r="CF47" s="137" t="s">
        <v>54</v>
      </c>
      <c r="CG47" s="138"/>
      <c r="CH47" s="138"/>
      <c r="CI47" s="138"/>
      <c r="CJ47" s="121"/>
      <c r="CK47" s="121"/>
      <c r="CL47" s="121"/>
      <c r="CM47" s="121"/>
      <c r="CN47" s="121"/>
      <c r="CO47" s="121"/>
      <c r="CP47" s="121"/>
      <c r="CQ47" s="121"/>
      <c r="CR47" s="121"/>
      <c r="CS47" s="121"/>
      <c r="CT47" s="121"/>
      <c r="CU47" s="121"/>
      <c r="CV47" s="69"/>
      <c r="CW47" s="71"/>
      <c r="CX47" s="116">
        <v>0</v>
      </c>
      <c r="CY47" s="116"/>
      <c r="CZ47" s="116"/>
      <c r="DA47" s="116"/>
      <c r="DB47" s="116"/>
      <c r="DC47" s="116"/>
      <c r="DD47" s="116"/>
      <c r="DE47" s="116"/>
      <c r="DF47" s="116">
        <v>0</v>
      </c>
      <c r="DG47" s="116"/>
      <c r="DH47" s="116"/>
      <c r="DI47" s="116"/>
      <c r="DJ47" s="116"/>
      <c r="DK47" s="116"/>
      <c r="DL47" s="121"/>
      <c r="DM47" s="121"/>
      <c r="DN47" s="118"/>
      <c r="DO47" s="118"/>
      <c r="DP47" s="119"/>
      <c r="DQ47" s="119"/>
      <c r="DR47" s="119"/>
      <c r="DS47" s="119"/>
    </row>
    <row r="48" spans="1:123" ht="6" customHeight="1" x14ac:dyDescent="0.35">
      <c r="A48" s="156"/>
      <c r="B48" s="156"/>
      <c r="C48" s="156"/>
      <c r="D48" s="156"/>
      <c r="E48" s="134"/>
      <c r="F48" s="134"/>
      <c r="G48" s="134"/>
      <c r="H48" s="134"/>
      <c r="I48" s="134"/>
      <c r="J48" s="134"/>
      <c r="K48" s="134"/>
      <c r="L48" s="134"/>
      <c r="M48" s="134"/>
      <c r="N48" s="134"/>
      <c r="O48" s="134"/>
      <c r="P48" s="134"/>
      <c r="Q48" s="134"/>
      <c r="R48" s="134"/>
      <c r="S48" s="134"/>
      <c r="T48" s="134"/>
      <c r="U48" s="134"/>
      <c r="V48" s="134"/>
      <c r="W48" s="134"/>
      <c r="X48" s="134"/>
      <c r="Y48" s="134"/>
      <c r="Z48" s="134"/>
      <c r="AA48" s="134"/>
      <c r="AB48" s="119"/>
      <c r="AC48" s="119"/>
      <c r="AD48" s="119"/>
      <c r="AE48" s="119"/>
      <c r="AF48" s="119"/>
      <c r="AG48" s="119"/>
      <c r="AH48" s="73"/>
      <c r="AI48" s="73"/>
      <c r="AJ48" s="73"/>
      <c r="AK48" s="165"/>
      <c r="AL48" s="146"/>
      <c r="AM48" s="117"/>
      <c r="AN48" s="117"/>
      <c r="AO48" s="147"/>
      <c r="AP48" s="152"/>
      <c r="AQ48" s="73"/>
      <c r="AR48" s="73"/>
      <c r="AS48" s="74"/>
      <c r="AU48" s="215"/>
      <c r="AV48" s="215"/>
      <c r="AW48" s="215"/>
      <c r="AX48" s="215"/>
      <c r="AY48" s="215"/>
      <c r="AZ48" s="215"/>
      <c r="BA48" s="215"/>
      <c r="BB48" s="215"/>
      <c r="BC48" s="215"/>
      <c r="BD48" s="215"/>
      <c r="BE48" s="215"/>
      <c r="BF48" s="215"/>
      <c r="BG48" s="215"/>
      <c r="BH48" s="215"/>
      <c r="BI48" s="215"/>
      <c r="BJ48" s="215"/>
      <c r="BK48" s="215"/>
      <c r="BL48" s="215"/>
      <c r="BM48" s="255"/>
      <c r="BN48" s="255"/>
      <c r="BO48" s="255"/>
      <c r="BP48" s="255"/>
      <c r="BQ48" s="255"/>
      <c r="BR48" s="255"/>
      <c r="BS48" s="255"/>
      <c r="BT48" s="255"/>
      <c r="BU48" s="255"/>
      <c r="BV48" s="255"/>
      <c r="BW48" s="255"/>
      <c r="BX48" s="255"/>
      <c r="BY48" s="255"/>
      <c r="BZ48" s="255"/>
      <c r="CA48" s="255"/>
      <c r="CB48" s="255"/>
      <c r="CC48" s="255"/>
      <c r="CD48" s="255"/>
      <c r="CF48" s="137"/>
      <c r="CG48" s="138"/>
      <c r="CH48" s="138"/>
      <c r="CI48" s="138"/>
      <c r="CJ48" s="121"/>
      <c r="CK48" s="121"/>
      <c r="CL48" s="121"/>
      <c r="CM48" s="121"/>
      <c r="CN48" s="121"/>
      <c r="CO48" s="121"/>
      <c r="CP48" s="121"/>
      <c r="CQ48" s="121"/>
      <c r="CR48" s="121"/>
      <c r="CS48" s="121"/>
      <c r="CT48" s="121"/>
      <c r="CU48" s="121"/>
      <c r="CV48" s="75"/>
      <c r="CW48" s="77"/>
      <c r="CX48" s="116"/>
      <c r="CY48" s="116"/>
      <c r="CZ48" s="116"/>
      <c r="DA48" s="116"/>
      <c r="DB48" s="116"/>
      <c r="DC48" s="116"/>
      <c r="DD48" s="116"/>
      <c r="DE48" s="116"/>
      <c r="DF48" s="116"/>
      <c r="DG48" s="116"/>
      <c r="DH48" s="116"/>
      <c r="DI48" s="116"/>
      <c r="DJ48" s="116"/>
      <c r="DK48" s="116"/>
      <c r="DL48" s="122"/>
      <c r="DM48" s="122"/>
      <c r="DN48" s="118"/>
      <c r="DO48" s="118"/>
      <c r="DP48" s="120"/>
      <c r="DQ48" s="120"/>
      <c r="DR48" s="120"/>
      <c r="DS48" s="120"/>
    </row>
    <row r="49" spans="1:123" ht="6" customHeight="1" x14ac:dyDescent="0.35">
      <c r="A49" s="156" t="s">
        <v>19</v>
      </c>
      <c r="B49" s="156"/>
      <c r="C49" s="156"/>
      <c r="D49" s="156"/>
      <c r="E49" s="134" t="s">
        <v>43</v>
      </c>
      <c r="F49" s="134"/>
      <c r="G49" s="134"/>
      <c r="H49" s="134"/>
      <c r="I49" s="134"/>
      <c r="J49" s="134"/>
      <c r="K49" s="134"/>
      <c r="L49" s="134"/>
      <c r="M49" s="134"/>
      <c r="N49" s="134"/>
      <c r="O49" s="134"/>
      <c r="P49" s="134"/>
      <c r="Q49" s="134"/>
      <c r="R49" s="134"/>
      <c r="S49" s="134"/>
      <c r="T49" s="134"/>
      <c r="U49" s="134"/>
      <c r="V49" s="134"/>
      <c r="W49" s="134"/>
      <c r="X49" s="134"/>
      <c r="Y49" s="134"/>
      <c r="Z49" s="134"/>
      <c r="AA49" s="134"/>
      <c r="AB49" s="119"/>
      <c r="AC49" s="119"/>
      <c r="AD49" s="119"/>
      <c r="AE49" s="119"/>
      <c r="AF49" s="119"/>
      <c r="AG49" s="119"/>
      <c r="AH49" s="154"/>
      <c r="AI49" s="154"/>
      <c r="AJ49" s="154"/>
      <c r="AK49" s="166"/>
      <c r="AL49" s="148"/>
      <c r="AM49" s="149"/>
      <c r="AN49" s="149"/>
      <c r="AO49" s="150"/>
      <c r="AP49" s="153"/>
      <c r="AQ49" s="154"/>
      <c r="AR49" s="154"/>
      <c r="AS49" s="155"/>
      <c r="AU49" s="215"/>
      <c r="AV49" s="215"/>
      <c r="AW49" s="215"/>
      <c r="AX49" s="215"/>
      <c r="AY49" s="215"/>
      <c r="AZ49" s="215"/>
      <c r="BA49" s="215"/>
      <c r="BB49" s="215"/>
      <c r="BC49" s="215"/>
      <c r="BD49" s="215"/>
      <c r="BE49" s="215"/>
      <c r="BF49" s="215"/>
      <c r="BG49" s="215"/>
      <c r="BH49" s="215"/>
      <c r="BI49" s="215"/>
      <c r="BJ49" s="215"/>
      <c r="BK49" s="215"/>
      <c r="BL49" s="215"/>
      <c r="BM49" s="255"/>
      <c r="BN49" s="255"/>
      <c r="BO49" s="255"/>
      <c r="BP49" s="255"/>
      <c r="BQ49" s="255"/>
      <c r="BR49" s="255"/>
      <c r="BS49" s="255"/>
      <c r="BT49" s="255"/>
      <c r="BU49" s="255"/>
      <c r="BV49" s="255"/>
      <c r="BW49" s="255"/>
      <c r="BX49" s="255"/>
      <c r="BY49" s="255"/>
      <c r="BZ49" s="255"/>
      <c r="CA49" s="255"/>
      <c r="CB49" s="255"/>
      <c r="CC49" s="255"/>
      <c r="CD49" s="255"/>
      <c r="CF49" s="137"/>
      <c r="CG49" s="138"/>
      <c r="CH49" s="138"/>
      <c r="CI49" s="138"/>
      <c r="CJ49" s="68"/>
      <c r="CK49" s="68"/>
      <c r="CL49" s="68"/>
      <c r="CM49" s="68"/>
      <c r="CN49" s="68"/>
      <c r="CO49" s="68"/>
      <c r="CP49" s="68"/>
      <c r="CQ49" s="68"/>
      <c r="CR49" s="68"/>
      <c r="CS49" s="68"/>
      <c r="CT49" s="68"/>
      <c r="CU49" s="68"/>
      <c r="CV49" s="68"/>
      <c r="CW49" s="68"/>
      <c r="CX49" s="68"/>
      <c r="CY49" s="68"/>
      <c r="CZ49" s="68"/>
      <c r="DA49" s="68"/>
      <c r="DB49" s="68"/>
      <c r="DC49" s="68"/>
      <c r="DD49" s="68"/>
      <c r="DE49" s="68"/>
      <c r="DF49" s="68"/>
      <c r="DG49" s="68"/>
      <c r="DH49" s="68"/>
      <c r="DI49" s="68"/>
      <c r="DJ49" s="68"/>
      <c r="DK49" s="68"/>
      <c r="DL49" s="68"/>
      <c r="DM49" s="68"/>
      <c r="DN49" s="68"/>
      <c r="DO49" s="68"/>
      <c r="DP49" s="68"/>
      <c r="DQ49" s="68"/>
      <c r="DR49" s="68"/>
      <c r="DS49" s="68"/>
    </row>
    <row r="50" spans="1:123" ht="6" customHeight="1" x14ac:dyDescent="0.35">
      <c r="A50" s="156"/>
      <c r="B50" s="156"/>
      <c r="C50" s="156"/>
      <c r="D50" s="156"/>
      <c r="E50" s="134"/>
      <c r="F50" s="134"/>
      <c r="G50" s="134"/>
      <c r="H50" s="134"/>
      <c r="I50" s="134"/>
      <c r="J50" s="134"/>
      <c r="K50" s="134"/>
      <c r="L50" s="134"/>
      <c r="M50" s="134"/>
      <c r="N50" s="134"/>
      <c r="O50" s="134"/>
      <c r="P50" s="134"/>
      <c r="Q50" s="134"/>
      <c r="R50" s="134"/>
      <c r="S50" s="134"/>
      <c r="T50" s="134"/>
      <c r="U50" s="134"/>
      <c r="V50" s="134"/>
      <c r="W50" s="134"/>
      <c r="X50" s="134"/>
      <c r="Y50" s="134"/>
      <c r="Z50" s="134"/>
      <c r="AA50" s="134"/>
      <c r="AB50" s="119"/>
      <c r="AC50" s="119"/>
      <c r="AD50" s="119"/>
      <c r="AE50" s="119"/>
      <c r="AF50" s="119"/>
      <c r="AG50" s="119"/>
      <c r="AH50" s="135" t="s">
        <v>29</v>
      </c>
      <c r="AI50" s="157"/>
      <c r="AJ50" s="161"/>
      <c r="AK50" s="127"/>
      <c r="AL50" s="127"/>
      <c r="AM50" s="162"/>
      <c r="AN50" s="135" t="s">
        <v>21</v>
      </c>
      <c r="AO50" s="157"/>
      <c r="AP50" s="161">
        <f>P51</f>
        <v>0</v>
      </c>
      <c r="AQ50" s="127"/>
      <c r="AR50" s="127"/>
      <c r="AS50" s="128"/>
      <c r="AU50" s="215"/>
      <c r="AV50" s="215"/>
      <c r="AW50" s="215"/>
      <c r="AX50" s="215"/>
      <c r="AY50" s="215"/>
      <c r="AZ50" s="215"/>
      <c r="BA50" s="215"/>
      <c r="BB50" s="215"/>
      <c r="BC50" s="215"/>
      <c r="BD50" s="215"/>
      <c r="BE50" s="215"/>
      <c r="BF50" s="215"/>
      <c r="BG50" s="215"/>
      <c r="BH50" s="215"/>
      <c r="BI50" s="215"/>
      <c r="BJ50" s="215"/>
      <c r="BK50" s="215"/>
      <c r="BL50" s="215"/>
      <c r="BM50" s="255"/>
      <c r="BN50" s="255"/>
      <c r="BO50" s="255"/>
      <c r="BP50" s="255"/>
      <c r="BQ50" s="255"/>
      <c r="BR50" s="255"/>
      <c r="BS50" s="255"/>
      <c r="BT50" s="255"/>
      <c r="BU50" s="255"/>
      <c r="BV50" s="255"/>
      <c r="BW50" s="255"/>
      <c r="BX50" s="255"/>
      <c r="BY50" s="255"/>
      <c r="BZ50" s="255"/>
      <c r="CA50" s="255"/>
      <c r="CB50" s="255"/>
      <c r="CC50" s="255"/>
      <c r="CD50" s="255"/>
      <c r="CF50" s="137"/>
      <c r="CG50" s="138"/>
      <c r="CH50" s="138"/>
      <c r="CI50" s="138"/>
      <c r="CJ50" s="68"/>
      <c r="CK50" s="68"/>
      <c r="CL50" s="68"/>
      <c r="CM50" s="68"/>
      <c r="CN50" s="68"/>
      <c r="CO50" s="68"/>
      <c r="CP50" s="68"/>
      <c r="CQ50" s="68"/>
      <c r="CR50" s="68"/>
      <c r="CS50" s="68"/>
      <c r="CT50" s="68"/>
      <c r="CU50" s="68"/>
      <c r="CV50" s="68"/>
      <c r="CW50" s="68"/>
      <c r="CX50" s="68"/>
      <c r="CY50" s="68"/>
      <c r="CZ50" s="68"/>
      <c r="DA50" s="68"/>
      <c r="DB50" s="68"/>
      <c r="DC50" s="68"/>
      <c r="DD50" s="68"/>
      <c r="DE50" s="68"/>
      <c r="DF50" s="68"/>
      <c r="DG50" s="68"/>
      <c r="DH50" s="68"/>
      <c r="DI50" s="68"/>
      <c r="DJ50" s="68"/>
      <c r="DK50" s="68"/>
      <c r="DL50" s="68"/>
      <c r="DM50" s="68"/>
      <c r="DN50" s="68"/>
      <c r="DO50" s="68"/>
      <c r="DP50" s="68"/>
      <c r="DQ50" s="68"/>
      <c r="DR50" s="68"/>
      <c r="DS50" s="68"/>
    </row>
    <row r="51" spans="1:123" ht="6" customHeight="1" x14ac:dyDescent="0.35">
      <c r="A51" s="137" t="s">
        <v>54</v>
      </c>
      <c r="B51" s="138"/>
      <c r="C51" s="138"/>
      <c r="D51" s="139"/>
      <c r="E51" s="69"/>
      <c r="F51" s="70"/>
      <c r="G51" s="70"/>
      <c r="H51" s="70"/>
      <c r="I51" s="70"/>
      <c r="J51" s="70"/>
      <c r="K51" s="70"/>
      <c r="L51" s="70"/>
      <c r="M51" s="70"/>
      <c r="N51" s="70"/>
      <c r="O51" s="71"/>
      <c r="P51" s="69"/>
      <c r="Q51" s="71"/>
      <c r="R51" s="116"/>
      <c r="S51" s="116"/>
      <c r="T51" s="116"/>
      <c r="U51" s="116"/>
      <c r="V51" s="116"/>
      <c r="W51" s="116"/>
      <c r="X51" s="116"/>
      <c r="Y51" s="116"/>
      <c r="Z51" s="116"/>
      <c r="AA51" s="116"/>
      <c r="AB51" s="116"/>
      <c r="AC51" s="116"/>
      <c r="AD51" s="116"/>
      <c r="AE51" s="116"/>
      <c r="AF51" s="119">
        <f>_AE_CCost_5</f>
        <v>0</v>
      </c>
      <c r="AG51" s="119"/>
      <c r="AH51" s="118"/>
      <c r="AI51" s="158"/>
      <c r="AJ51" s="146"/>
      <c r="AK51" s="117"/>
      <c r="AL51" s="117"/>
      <c r="AM51" s="147"/>
      <c r="AN51" s="118"/>
      <c r="AO51" s="158"/>
      <c r="AP51" s="146"/>
      <c r="AQ51" s="117"/>
      <c r="AR51" s="117"/>
      <c r="AS51" s="129"/>
      <c r="AU51" s="215"/>
      <c r="AV51" s="215"/>
      <c r="AW51" s="215"/>
      <c r="AX51" s="215"/>
      <c r="AY51" s="215"/>
      <c r="AZ51" s="215"/>
      <c r="BA51" s="215"/>
      <c r="BB51" s="215"/>
      <c r="BC51" s="215"/>
      <c r="BD51" s="215"/>
      <c r="BE51" s="215"/>
      <c r="BF51" s="215"/>
      <c r="BG51" s="215"/>
      <c r="BH51" s="215"/>
      <c r="BI51" s="215"/>
      <c r="BJ51" s="215"/>
      <c r="BK51" s="215"/>
      <c r="BL51" s="215"/>
      <c r="BM51" s="255"/>
      <c r="BN51" s="255"/>
      <c r="BO51" s="255"/>
      <c r="BP51" s="255"/>
      <c r="BQ51" s="255"/>
      <c r="BR51" s="255"/>
      <c r="BS51" s="255"/>
      <c r="BT51" s="255"/>
      <c r="BU51" s="255"/>
      <c r="BV51" s="255"/>
      <c r="BW51" s="255"/>
      <c r="BX51" s="255"/>
      <c r="BY51" s="255"/>
      <c r="BZ51" s="255"/>
      <c r="CA51" s="255"/>
      <c r="CB51" s="255"/>
      <c r="CC51" s="255"/>
      <c r="CD51" s="255"/>
      <c r="CF51" s="137"/>
      <c r="CG51" s="138"/>
      <c r="CH51" s="138"/>
      <c r="CI51" s="138"/>
      <c r="CJ51" s="68"/>
      <c r="CK51" s="68"/>
      <c r="CL51" s="68"/>
      <c r="CM51" s="68"/>
      <c r="CN51" s="68"/>
      <c r="CO51" s="68"/>
      <c r="CP51" s="68"/>
      <c r="CQ51" s="68"/>
      <c r="CR51" s="68"/>
      <c r="CS51" s="68"/>
      <c r="CT51" s="68"/>
      <c r="CU51" s="68"/>
      <c r="CV51" s="68"/>
      <c r="CW51" s="68"/>
      <c r="CX51" s="68"/>
      <c r="CY51" s="68"/>
      <c r="CZ51" s="68"/>
      <c r="DA51" s="68"/>
      <c r="DB51" s="68"/>
      <c r="DC51" s="68"/>
      <c r="DD51" s="68"/>
      <c r="DE51" s="68"/>
      <c r="DF51" s="68"/>
      <c r="DG51" s="68"/>
      <c r="DH51" s="68"/>
      <c r="DI51" s="68"/>
      <c r="DJ51" s="68"/>
      <c r="DK51" s="68"/>
      <c r="DL51" s="68"/>
      <c r="DM51" s="68"/>
      <c r="DN51" s="68"/>
      <c r="DO51" s="68"/>
      <c r="DP51" s="68"/>
      <c r="DQ51" s="68"/>
      <c r="DR51" s="68"/>
      <c r="DS51" s="68"/>
    </row>
    <row r="52" spans="1:123" ht="6" customHeight="1" x14ac:dyDescent="0.35">
      <c r="A52" s="137"/>
      <c r="B52" s="138"/>
      <c r="C52" s="138"/>
      <c r="D52" s="139"/>
      <c r="E52" s="75"/>
      <c r="F52" s="76"/>
      <c r="G52" s="76"/>
      <c r="H52" s="76"/>
      <c r="I52" s="76"/>
      <c r="J52" s="76"/>
      <c r="K52" s="76"/>
      <c r="L52" s="76"/>
      <c r="M52" s="76"/>
      <c r="N52" s="76"/>
      <c r="O52" s="77"/>
      <c r="P52" s="75"/>
      <c r="Q52" s="77"/>
      <c r="R52" s="116"/>
      <c r="S52" s="116"/>
      <c r="T52" s="116"/>
      <c r="U52" s="116"/>
      <c r="V52" s="116"/>
      <c r="W52" s="116"/>
      <c r="X52" s="116"/>
      <c r="Y52" s="116"/>
      <c r="Z52" s="116"/>
      <c r="AA52" s="116"/>
      <c r="AB52" s="116"/>
      <c r="AC52" s="116"/>
      <c r="AD52" s="116"/>
      <c r="AE52" s="116"/>
      <c r="AF52" s="119"/>
      <c r="AG52" s="119"/>
      <c r="AH52" s="159"/>
      <c r="AI52" s="160"/>
      <c r="AJ52" s="148"/>
      <c r="AK52" s="149"/>
      <c r="AL52" s="149"/>
      <c r="AM52" s="150"/>
      <c r="AN52" s="159"/>
      <c r="AO52" s="160"/>
      <c r="AP52" s="148"/>
      <c r="AQ52" s="149"/>
      <c r="AR52" s="149"/>
      <c r="AS52" s="163"/>
      <c r="AU52" s="266" t="s">
        <v>57</v>
      </c>
      <c r="AV52" s="267"/>
      <c r="AW52" s="267"/>
      <c r="AX52" s="267"/>
      <c r="AY52" s="267"/>
      <c r="AZ52" s="267"/>
      <c r="BA52" s="267"/>
      <c r="BB52" s="267"/>
      <c r="BC52" s="267"/>
      <c r="BD52" s="267" t="s">
        <v>58</v>
      </c>
      <c r="BE52" s="267"/>
      <c r="BF52" s="267"/>
      <c r="BG52" s="267"/>
      <c r="BH52" s="267"/>
      <c r="BI52" s="267"/>
      <c r="BJ52" s="267"/>
      <c r="BK52" s="267"/>
      <c r="BL52" s="267"/>
      <c r="BM52" s="256"/>
      <c r="BN52" s="257"/>
      <c r="BO52" s="257"/>
      <c r="BP52" s="257"/>
      <c r="BQ52" s="257"/>
      <c r="BR52" s="257"/>
      <c r="BS52" s="257"/>
      <c r="BT52" s="257"/>
      <c r="BU52" s="257"/>
      <c r="BV52" s="257"/>
      <c r="BW52" s="257"/>
      <c r="BX52" s="257"/>
      <c r="BY52" s="257"/>
      <c r="BZ52" s="257"/>
      <c r="CA52" s="257"/>
      <c r="CB52" s="257"/>
      <c r="CC52" s="257"/>
      <c r="CD52" s="258"/>
      <c r="CF52" s="140"/>
      <c r="CG52" s="141"/>
      <c r="CH52" s="141"/>
      <c r="CI52" s="141"/>
      <c r="CJ52" s="68"/>
      <c r="CK52" s="68"/>
      <c r="CL52" s="68"/>
      <c r="CM52" s="68"/>
      <c r="CN52" s="68"/>
      <c r="CO52" s="68"/>
      <c r="CP52" s="68"/>
      <c r="CQ52" s="68"/>
      <c r="CR52" s="68"/>
      <c r="CS52" s="68"/>
      <c r="CT52" s="68"/>
      <c r="CU52" s="68"/>
      <c r="CV52" s="68"/>
      <c r="CW52" s="68"/>
      <c r="CX52" s="68"/>
      <c r="CY52" s="68"/>
      <c r="CZ52" s="68"/>
      <c r="DA52" s="68"/>
      <c r="DB52" s="68"/>
      <c r="DC52" s="68"/>
      <c r="DD52" s="68"/>
      <c r="DE52" s="68"/>
      <c r="DF52" s="68"/>
      <c r="DG52" s="68"/>
      <c r="DH52" s="68"/>
      <c r="DI52" s="68"/>
      <c r="DJ52" s="68"/>
      <c r="DK52" s="68"/>
      <c r="DL52" s="68"/>
      <c r="DM52" s="68"/>
      <c r="DN52" s="68"/>
      <c r="DO52" s="68"/>
      <c r="DP52" s="68"/>
      <c r="DQ52" s="68"/>
      <c r="DR52" s="68"/>
      <c r="DS52" s="68"/>
    </row>
    <row r="53" spans="1:123" ht="6" customHeight="1" x14ac:dyDescent="0.35">
      <c r="A53" s="137"/>
      <c r="B53" s="138"/>
      <c r="C53" s="138"/>
      <c r="D53" s="139"/>
      <c r="E53" s="123"/>
      <c r="F53" s="124"/>
      <c r="G53" s="124"/>
      <c r="H53" s="124"/>
      <c r="I53" s="124"/>
      <c r="J53" s="124"/>
      <c r="K53" s="124"/>
      <c r="L53" s="124"/>
      <c r="M53" s="124"/>
      <c r="N53" s="124"/>
      <c r="O53" s="124"/>
      <c r="P53" s="124"/>
      <c r="Q53" s="124"/>
      <c r="R53" s="124"/>
      <c r="S53" s="124"/>
      <c r="T53" s="124"/>
      <c r="U53" s="124"/>
      <c r="V53" s="124"/>
      <c r="W53" s="124"/>
      <c r="X53" s="124"/>
      <c r="Y53" s="124"/>
      <c r="Z53" s="124"/>
      <c r="AA53" s="124"/>
      <c r="AB53" s="124"/>
      <c r="AC53" s="124"/>
      <c r="AD53" s="124"/>
      <c r="AE53" s="124"/>
      <c r="AF53" s="124"/>
      <c r="AG53" s="124"/>
      <c r="AH53" s="124"/>
      <c r="AI53" s="124"/>
      <c r="AJ53" s="124"/>
      <c r="AK53" s="124"/>
      <c r="AL53" s="124"/>
      <c r="AM53" s="135" t="s">
        <v>22</v>
      </c>
      <c r="AN53" s="135"/>
      <c r="AO53" s="135"/>
      <c r="AP53" s="127">
        <f>IFERROR(ATR_5-MAX(A_Bulk_5,AR_Bulk),"")</f>
        <v>1</v>
      </c>
      <c r="AQ53" s="127"/>
      <c r="AR53" s="127"/>
      <c r="AS53" s="128"/>
      <c r="AU53" s="268"/>
      <c r="AV53" s="269"/>
      <c r="AW53" s="269"/>
      <c r="AX53" s="269"/>
      <c r="AY53" s="269"/>
      <c r="AZ53" s="269"/>
      <c r="BA53" s="269"/>
      <c r="BB53" s="269"/>
      <c r="BC53" s="269"/>
      <c r="BD53" s="269"/>
      <c r="BE53" s="269"/>
      <c r="BF53" s="269"/>
      <c r="BG53" s="269"/>
      <c r="BH53" s="269"/>
      <c r="BI53" s="269"/>
      <c r="BJ53" s="269"/>
      <c r="BK53" s="269"/>
      <c r="BL53" s="269"/>
      <c r="BM53" s="259"/>
      <c r="BN53" s="260"/>
      <c r="BO53" s="260"/>
      <c r="BP53" s="260"/>
      <c r="BQ53" s="260"/>
      <c r="BR53" s="260"/>
      <c r="BS53" s="260"/>
      <c r="BT53" s="260"/>
      <c r="BU53" s="260"/>
      <c r="BV53" s="260"/>
      <c r="BW53" s="260"/>
      <c r="BX53" s="260"/>
      <c r="BY53" s="260"/>
      <c r="BZ53" s="260"/>
      <c r="CA53" s="260"/>
      <c r="CB53" s="260"/>
      <c r="CC53" s="260"/>
      <c r="CD53" s="261"/>
      <c r="CF53" s="156" t="s">
        <v>18</v>
      </c>
      <c r="CG53" s="156"/>
      <c r="CH53" s="156"/>
      <c r="CI53" s="156"/>
      <c r="CJ53" s="68" t="s">
        <v>218</v>
      </c>
      <c r="CK53" s="68"/>
      <c r="CL53" s="68"/>
      <c r="CM53" s="68"/>
      <c r="CN53" s="68"/>
      <c r="CO53" s="68"/>
      <c r="CP53" s="68"/>
      <c r="CQ53" s="68"/>
      <c r="CR53" s="68"/>
      <c r="CS53" s="68"/>
      <c r="CT53" s="68"/>
      <c r="CU53" s="68"/>
      <c r="CV53" s="68"/>
      <c r="CW53" s="68"/>
      <c r="CX53" s="68"/>
      <c r="CY53" s="68"/>
      <c r="CZ53" s="68"/>
      <c r="DA53" s="68"/>
      <c r="DB53" s="119" t="str">
        <f>_xlfn.XLOOKUP(CJ55,BroadSkills,BroadSkillAspects,"",0,1)</f>
        <v>Mind</v>
      </c>
      <c r="DC53" s="119"/>
      <c r="DD53" s="119"/>
      <c r="DE53" s="119"/>
      <c r="DF53" s="119"/>
      <c r="DG53" s="119"/>
      <c r="DH53" s="116">
        <v>4</v>
      </c>
      <c r="DI53" s="116"/>
      <c r="DJ53" s="116"/>
      <c r="DK53" s="116"/>
      <c r="DL53" s="117">
        <f>IF(_OCTR_2&gt;0,_OCTR_2,"")</f>
        <v>1</v>
      </c>
      <c r="DM53" s="117"/>
      <c r="DN53" s="117"/>
      <c r="DO53" s="117"/>
      <c r="DP53" s="116">
        <v>8</v>
      </c>
      <c r="DQ53" s="116"/>
      <c r="DR53" s="116"/>
      <c r="DS53" s="116"/>
    </row>
    <row r="54" spans="1:123" ht="6" customHeight="1" x14ac:dyDescent="0.35">
      <c r="A54" s="137"/>
      <c r="B54" s="138"/>
      <c r="C54" s="138"/>
      <c r="D54" s="139"/>
      <c r="E54" s="125"/>
      <c r="F54" s="126"/>
      <c r="G54" s="126"/>
      <c r="H54" s="126"/>
      <c r="I54" s="126"/>
      <c r="J54" s="126"/>
      <c r="K54" s="126"/>
      <c r="L54" s="126"/>
      <c r="M54" s="126"/>
      <c r="N54" s="126"/>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18"/>
      <c r="AN54" s="118"/>
      <c r="AO54" s="118"/>
      <c r="AP54" s="117"/>
      <c r="AQ54" s="117"/>
      <c r="AR54" s="117"/>
      <c r="AS54" s="129"/>
      <c r="CF54" s="156"/>
      <c r="CG54" s="156"/>
      <c r="CH54" s="156"/>
      <c r="CI54" s="156"/>
      <c r="CJ54" s="68"/>
      <c r="CK54" s="68"/>
      <c r="CL54" s="68"/>
      <c r="CM54" s="68"/>
      <c r="CN54" s="68"/>
      <c r="CO54" s="68"/>
      <c r="CP54" s="68"/>
      <c r="CQ54" s="68"/>
      <c r="CR54" s="68"/>
      <c r="CS54" s="68"/>
      <c r="CT54" s="68"/>
      <c r="CU54" s="68"/>
      <c r="CV54" s="68"/>
      <c r="CW54" s="68"/>
      <c r="CX54" s="68"/>
      <c r="CY54" s="68"/>
      <c r="CZ54" s="68"/>
      <c r="DA54" s="68"/>
      <c r="DB54" s="119"/>
      <c r="DC54" s="119"/>
      <c r="DD54" s="119"/>
      <c r="DE54" s="119"/>
      <c r="DF54" s="119"/>
      <c r="DG54" s="119"/>
      <c r="DH54" s="116"/>
      <c r="DI54" s="116"/>
      <c r="DJ54" s="116"/>
      <c r="DK54" s="116"/>
      <c r="DL54" s="117"/>
      <c r="DM54" s="117"/>
      <c r="DN54" s="117"/>
      <c r="DO54" s="117"/>
      <c r="DP54" s="116"/>
      <c r="DQ54" s="116"/>
      <c r="DR54" s="116"/>
      <c r="DS54" s="116"/>
    </row>
    <row r="55" spans="1:123" ht="6" customHeight="1" x14ac:dyDescent="0.35">
      <c r="A55" s="137"/>
      <c r="B55" s="138"/>
      <c r="C55" s="138"/>
      <c r="D55" s="139"/>
      <c r="E55" s="123"/>
      <c r="F55" s="124"/>
      <c r="G55" s="124"/>
      <c r="H55" s="124"/>
      <c r="I55" s="124"/>
      <c r="J55" s="124"/>
      <c r="K55" s="124"/>
      <c r="L55" s="124"/>
      <c r="M55" s="124"/>
      <c r="N55" s="124"/>
      <c r="O55" s="124"/>
      <c r="P55" s="124"/>
      <c r="Q55" s="124"/>
      <c r="R55" s="124"/>
      <c r="S55" s="124"/>
      <c r="T55" s="124"/>
      <c r="U55" s="124"/>
      <c r="V55" s="124"/>
      <c r="W55" s="124"/>
      <c r="X55" s="124"/>
      <c r="Y55" s="124"/>
      <c r="Z55" s="124"/>
      <c r="AA55" s="124"/>
      <c r="AB55" s="124"/>
      <c r="AC55" s="124"/>
      <c r="AD55" s="124"/>
      <c r="AE55" s="124"/>
      <c r="AF55" s="124"/>
      <c r="AG55" s="124"/>
      <c r="AH55" s="124"/>
      <c r="AI55" s="124"/>
      <c r="AJ55" s="124"/>
      <c r="AK55" s="124"/>
      <c r="AL55" s="124"/>
      <c r="AM55" s="118"/>
      <c r="AN55" s="118"/>
      <c r="AO55" s="118"/>
      <c r="AP55" s="117"/>
      <c r="AQ55" s="117"/>
      <c r="AR55" s="117"/>
      <c r="AS55" s="129"/>
      <c r="AU55" s="67" t="s">
        <v>34</v>
      </c>
      <c r="AV55" s="67"/>
      <c r="AW55" s="67"/>
      <c r="AX55" s="67"/>
      <c r="AY55" s="67"/>
      <c r="AZ55" s="67"/>
      <c r="BA55" s="67"/>
      <c r="BB55" s="67"/>
      <c r="BC55" s="67"/>
      <c r="BD55" s="67"/>
      <c r="BE55" s="67"/>
      <c r="BF55" s="67"/>
      <c r="BG55" s="67"/>
      <c r="BH55" s="67"/>
      <c r="BI55" s="67"/>
      <c r="BJ55" s="67"/>
      <c r="BK55" s="67"/>
      <c r="BL55" s="67"/>
      <c r="BM55" s="67"/>
      <c r="BN55" s="67"/>
      <c r="BO55" s="67"/>
      <c r="BP55" s="67"/>
      <c r="BQ55" s="67"/>
      <c r="BR55" s="67"/>
      <c r="BS55" s="67"/>
      <c r="BT55" s="67"/>
      <c r="BU55" s="67"/>
      <c r="BV55" s="67"/>
      <c r="BW55" s="67"/>
      <c r="BX55" s="67"/>
      <c r="BY55" s="67"/>
      <c r="BZ55" s="67"/>
      <c r="CA55" s="67"/>
      <c r="CB55" s="67"/>
      <c r="CC55" s="67"/>
      <c r="CD55" s="67"/>
      <c r="CF55" s="156" t="s">
        <v>19</v>
      </c>
      <c r="CG55" s="156"/>
      <c r="CH55" s="156"/>
      <c r="CI55" s="156"/>
      <c r="CJ55" s="68" t="s">
        <v>49</v>
      </c>
      <c r="CK55" s="68"/>
      <c r="CL55" s="68"/>
      <c r="CM55" s="68"/>
      <c r="CN55" s="68"/>
      <c r="CO55" s="68"/>
      <c r="CP55" s="68"/>
      <c r="CQ55" s="68"/>
      <c r="CR55" s="68"/>
      <c r="CS55" s="68"/>
      <c r="CT55" s="68"/>
      <c r="CU55" s="68"/>
      <c r="CV55" s="68"/>
      <c r="CW55" s="68"/>
      <c r="CX55" s="68"/>
      <c r="CY55" s="68"/>
      <c r="CZ55" s="68"/>
      <c r="DA55" s="68"/>
      <c r="DB55" s="119"/>
      <c r="DC55" s="119"/>
      <c r="DD55" s="119"/>
      <c r="DE55" s="119"/>
      <c r="DF55" s="119"/>
      <c r="DG55" s="119"/>
      <c r="DH55" s="116"/>
      <c r="DI55" s="116"/>
      <c r="DJ55" s="116"/>
      <c r="DK55" s="116"/>
      <c r="DL55" s="117"/>
      <c r="DM55" s="117"/>
      <c r="DN55" s="117"/>
      <c r="DO55" s="117"/>
      <c r="DP55" s="116"/>
      <c r="DQ55" s="116"/>
      <c r="DR55" s="116"/>
      <c r="DS55" s="116"/>
    </row>
    <row r="56" spans="1:123" ht="6" customHeight="1" x14ac:dyDescent="0.35">
      <c r="A56" s="140"/>
      <c r="B56" s="141"/>
      <c r="C56" s="141"/>
      <c r="D56" s="142"/>
      <c r="E56" s="132"/>
      <c r="F56" s="133"/>
      <c r="G56" s="133"/>
      <c r="H56" s="133"/>
      <c r="I56" s="133"/>
      <c r="J56" s="133"/>
      <c r="K56" s="133"/>
      <c r="L56" s="133"/>
      <c r="M56" s="133"/>
      <c r="N56" s="133"/>
      <c r="O56" s="133"/>
      <c r="P56" s="133"/>
      <c r="Q56" s="133"/>
      <c r="R56" s="133"/>
      <c r="S56" s="133"/>
      <c r="T56" s="133"/>
      <c r="U56" s="133"/>
      <c r="V56" s="133"/>
      <c r="W56" s="133"/>
      <c r="X56" s="133"/>
      <c r="Y56" s="133"/>
      <c r="Z56" s="133"/>
      <c r="AA56" s="133"/>
      <c r="AB56" s="133"/>
      <c r="AC56" s="133"/>
      <c r="AD56" s="133"/>
      <c r="AE56" s="133"/>
      <c r="AF56" s="133"/>
      <c r="AG56" s="133"/>
      <c r="AH56" s="133"/>
      <c r="AI56" s="133"/>
      <c r="AJ56" s="133"/>
      <c r="AK56" s="133"/>
      <c r="AL56" s="133"/>
      <c r="AM56" s="136"/>
      <c r="AN56" s="136"/>
      <c r="AO56" s="136"/>
      <c r="AP56" s="130"/>
      <c r="AQ56" s="130"/>
      <c r="AR56" s="130"/>
      <c r="AS56" s="131"/>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F56" s="156"/>
      <c r="CG56" s="156"/>
      <c r="CH56" s="156"/>
      <c r="CI56" s="156"/>
      <c r="CJ56" s="68"/>
      <c r="CK56" s="68"/>
      <c r="CL56" s="68"/>
      <c r="CM56" s="68"/>
      <c r="CN56" s="68"/>
      <c r="CO56" s="68"/>
      <c r="CP56" s="68"/>
      <c r="CQ56" s="68"/>
      <c r="CR56" s="68"/>
      <c r="CS56" s="68"/>
      <c r="CT56" s="68"/>
      <c r="CU56" s="68"/>
      <c r="CV56" s="68"/>
      <c r="CW56" s="68"/>
      <c r="CX56" s="68"/>
      <c r="CY56" s="68"/>
      <c r="CZ56" s="68"/>
      <c r="DA56" s="68"/>
      <c r="DB56" s="119"/>
      <c r="DC56" s="119"/>
      <c r="DD56" s="119"/>
      <c r="DE56" s="119"/>
      <c r="DF56" s="119"/>
      <c r="DG56" s="119"/>
      <c r="DH56" s="116"/>
      <c r="DI56" s="116"/>
      <c r="DJ56" s="116"/>
      <c r="DK56" s="116"/>
      <c r="DN56" s="118" t="s">
        <v>29</v>
      </c>
      <c r="DO56" s="118"/>
      <c r="DP56" s="119"/>
      <c r="DQ56" s="119"/>
      <c r="DR56" s="119"/>
      <c r="DS56" s="119"/>
    </row>
    <row r="57" spans="1:123" ht="6" customHeight="1" x14ac:dyDescent="0.35">
      <c r="A57" s="156" t="s">
        <v>18</v>
      </c>
      <c r="B57" s="156"/>
      <c r="C57" s="156"/>
      <c r="D57" s="156"/>
      <c r="E57" s="134" t="s">
        <v>214</v>
      </c>
      <c r="F57" s="134"/>
      <c r="G57" s="134"/>
      <c r="H57" s="134"/>
      <c r="I57" s="134"/>
      <c r="J57" s="134"/>
      <c r="K57" s="134"/>
      <c r="L57" s="134"/>
      <c r="M57" s="134"/>
      <c r="N57" s="134"/>
      <c r="O57" s="134"/>
      <c r="P57" s="134"/>
      <c r="Q57" s="134"/>
      <c r="R57" s="134"/>
      <c r="S57" s="134"/>
      <c r="T57" s="134"/>
      <c r="U57" s="134"/>
      <c r="V57" s="134"/>
      <c r="W57" s="134"/>
      <c r="X57" s="134"/>
      <c r="Y57" s="134"/>
      <c r="Z57" s="134"/>
      <c r="AA57" s="134"/>
      <c r="AB57" s="119" t="str">
        <f>_xlfn.XLOOKUP(E59,BroadSkills,BroadSkillAspects,"",0,1)</f>
        <v>Body</v>
      </c>
      <c r="AC57" s="119"/>
      <c r="AD57" s="119"/>
      <c r="AE57" s="119"/>
      <c r="AF57" s="119"/>
      <c r="AG57" s="119"/>
      <c r="AH57" s="70">
        <v>4</v>
      </c>
      <c r="AI57" s="70"/>
      <c r="AJ57" s="70"/>
      <c r="AK57" s="164"/>
      <c r="AL57" s="143">
        <f>IF(_ACTR_6&gt;0,_ACTR_6,"")</f>
        <v>1</v>
      </c>
      <c r="AM57" s="144"/>
      <c r="AN57" s="144"/>
      <c r="AO57" s="145"/>
      <c r="AP57" s="151">
        <v>9</v>
      </c>
      <c r="AQ57" s="70"/>
      <c r="AR57" s="70"/>
      <c r="AS57" s="71"/>
      <c r="AU57" s="99"/>
      <c r="AV57" s="100"/>
      <c r="AW57" s="100"/>
      <c r="AX57" s="100"/>
      <c r="AY57" s="100"/>
      <c r="AZ57" s="100"/>
      <c r="BA57" s="100"/>
      <c r="BB57" s="100"/>
      <c r="BC57" s="100"/>
      <c r="BD57" s="100"/>
      <c r="BE57" s="100"/>
      <c r="BF57" s="100"/>
      <c r="BG57" s="100"/>
      <c r="BH57" s="100"/>
      <c r="BI57" s="100"/>
      <c r="BJ57" s="100"/>
      <c r="BK57" s="100"/>
      <c r="BL57" s="100"/>
      <c r="BM57" s="100"/>
      <c r="BN57" s="100"/>
      <c r="BO57" s="100"/>
      <c r="BP57" s="100"/>
      <c r="BQ57" s="100"/>
      <c r="BR57" s="100"/>
      <c r="BS57" s="100"/>
      <c r="BT57" s="100"/>
      <c r="BU57" s="100"/>
      <c r="BV57" s="100"/>
      <c r="BW57" s="100"/>
      <c r="BX57" s="100"/>
      <c r="BY57" s="100"/>
      <c r="BZ57" s="100"/>
      <c r="CA57" s="100"/>
      <c r="CB57" s="100"/>
      <c r="CC57" s="100"/>
      <c r="CD57" s="101"/>
      <c r="CF57" s="137" t="s">
        <v>54</v>
      </c>
      <c r="CG57" s="138"/>
      <c r="CH57" s="138"/>
      <c r="CI57" s="138"/>
      <c r="CJ57" s="121"/>
      <c r="CK57" s="121"/>
      <c r="CL57" s="121"/>
      <c r="CM57" s="121"/>
      <c r="CN57" s="121"/>
      <c r="CO57" s="121"/>
      <c r="CP57" s="121"/>
      <c r="CQ57" s="121"/>
      <c r="CR57" s="121"/>
      <c r="CS57" s="121"/>
      <c r="CT57" s="121"/>
      <c r="CU57" s="121"/>
      <c r="CV57" s="69"/>
      <c r="CW57" s="71"/>
      <c r="CX57" s="116">
        <v>0</v>
      </c>
      <c r="CY57" s="116"/>
      <c r="CZ57" s="116"/>
      <c r="DA57" s="116"/>
      <c r="DB57" s="116"/>
      <c r="DC57" s="116"/>
      <c r="DD57" s="116"/>
      <c r="DE57" s="116"/>
      <c r="DF57" s="116">
        <v>0</v>
      </c>
      <c r="DG57" s="116"/>
      <c r="DH57" s="116"/>
      <c r="DI57" s="116"/>
      <c r="DJ57" s="116"/>
      <c r="DK57" s="116"/>
      <c r="DL57" s="121"/>
      <c r="DM57" s="121"/>
      <c r="DN57" s="118"/>
      <c r="DO57" s="118"/>
      <c r="DP57" s="119"/>
      <c r="DQ57" s="119"/>
      <c r="DR57" s="119"/>
      <c r="DS57" s="119"/>
    </row>
    <row r="58" spans="1:123" ht="6" customHeight="1" x14ac:dyDescent="0.35">
      <c r="A58" s="156"/>
      <c r="B58" s="156"/>
      <c r="C58" s="156"/>
      <c r="D58" s="156"/>
      <c r="E58" s="134"/>
      <c r="F58" s="134"/>
      <c r="G58" s="134"/>
      <c r="H58" s="134"/>
      <c r="I58" s="134"/>
      <c r="J58" s="134"/>
      <c r="K58" s="134"/>
      <c r="L58" s="134"/>
      <c r="M58" s="134"/>
      <c r="N58" s="134"/>
      <c r="O58" s="134"/>
      <c r="P58" s="134"/>
      <c r="Q58" s="134"/>
      <c r="R58" s="134"/>
      <c r="S58" s="134"/>
      <c r="T58" s="134"/>
      <c r="U58" s="134"/>
      <c r="V58" s="134"/>
      <c r="W58" s="134"/>
      <c r="X58" s="134"/>
      <c r="Y58" s="134"/>
      <c r="Z58" s="134"/>
      <c r="AA58" s="134"/>
      <c r="AB58" s="119"/>
      <c r="AC58" s="119"/>
      <c r="AD58" s="119"/>
      <c r="AE58" s="119"/>
      <c r="AF58" s="119"/>
      <c r="AG58" s="119"/>
      <c r="AH58" s="73"/>
      <c r="AI58" s="73"/>
      <c r="AJ58" s="73"/>
      <c r="AK58" s="165"/>
      <c r="AL58" s="146"/>
      <c r="AM58" s="117"/>
      <c r="AN58" s="117"/>
      <c r="AO58" s="147"/>
      <c r="AP58" s="152"/>
      <c r="AQ58" s="73"/>
      <c r="AR58" s="73"/>
      <c r="AS58" s="74"/>
      <c r="AU58" s="102"/>
      <c r="AV58" s="103"/>
      <c r="AW58" s="103"/>
      <c r="AX58" s="103"/>
      <c r="AY58" s="103"/>
      <c r="AZ58" s="103"/>
      <c r="BA58" s="103"/>
      <c r="BB58" s="103"/>
      <c r="BC58" s="103"/>
      <c r="BD58" s="103"/>
      <c r="BE58" s="103"/>
      <c r="BF58" s="103"/>
      <c r="BG58" s="103"/>
      <c r="BH58" s="103"/>
      <c r="BI58" s="103"/>
      <c r="BJ58" s="103"/>
      <c r="BK58" s="103"/>
      <c r="BL58" s="103"/>
      <c r="BM58" s="103"/>
      <c r="BN58" s="103"/>
      <c r="BO58" s="103"/>
      <c r="BP58" s="103"/>
      <c r="BQ58" s="103"/>
      <c r="BR58" s="103"/>
      <c r="BS58" s="103"/>
      <c r="BT58" s="103"/>
      <c r="BU58" s="103"/>
      <c r="BV58" s="103"/>
      <c r="BW58" s="103"/>
      <c r="BX58" s="103"/>
      <c r="BY58" s="103"/>
      <c r="BZ58" s="103"/>
      <c r="CA58" s="103"/>
      <c r="CB58" s="103"/>
      <c r="CC58" s="103"/>
      <c r="CD58" s="104"/>
      <c r="CF58" s="137"/>
      <c r="CG58" s="138"/>
      <c r="CH58" s="138"/>
      <c r="CI58" s="138"/>
      <c r="CJ58" s="121"/>
      <c r="CK58" s="121"/>
      <c r="CL58" s="121"/>
      <c r="CM58" s="121"/>
      <c r="CN58" s="121"/>
      <c r="CO58" s="121"/>
      <c r="CP58" s="121"/>
      <c r="CQ58" s="121"/>
      <c r="CR58" s="121"/>
      <c r="CS58" s="121"/>
      <c r="CT58" s="121"/>
      <c r="CU58" s="121"/>
      <c r="CV58" s="75"/>
      <c r="CW58" s="77"/>
      <c r="CX58" s="116"/>
      <c r="CY58" s="116"/>
      <c r="CZ58" s="116"/>
      <c r="DA58" s="116"/>
      <c r="DB58" s="116"/>
      <c r="DC58" s="116"/>
      <c r="DD58" s="116"/>
      <c r="DE58" s="116"/>
      <c r="DF58" s="116"/>
      <c r="DG58" s="116"/>
      <c r="DH58" s="116"/>
      <c r="DI58" s="116"/>
      <c r="DJ58" s="116"/>
      <c r="DK58" s="116"/>
      <c r="DL58" s="122"/>
      <c r="DM58" s="122"/>
      <c r="DN58" s="118"/>
      <c r="DO58" s="118"/>
      <c r="DP58" s="120"/>
      <c r="DQ58" s="120"/>
      <c r="DR58" s="120"/>
      <c r="DS58" s="120"/>
    </row>
    <row r="59" spans="1:123" ht="6" customHeight="1" x14ac:dyDescent="0.35">
      <c r="A59" s="156" t="s">
        <v>19</v>
      </c>
      <c r="B59" s="156"/>
      <c r="C59" s="156"/>
      <c r="D59" s="156"/>
      <c r="E59" s="134" t="s">
        <v>204</v>
      </c>
      <c r="F59" s="134"/>
      <c r="G59" s="134"/>
      <c r="H59" s="134"/>
      <c r="I59" s="134"/>
      <c r="J59" s="134"/>
      <c r="K59" s="134"/>
      <c r="L59" s="134"/>
      <c r="M59" s="134"/>
      <c r="N59" s="134"/>
      <c r="O59" s="134"/>
      <c r="P59" s="134"/>
      <c r="Q59" s="134"/>
      <c r="R59" s="134"/>
      <c r="S59" s="134"/>
      <c r="T59" s="134"/>
      <c r="U59" s="134"/>
      <c r="V59" s="134"/>
      <c r="W59" s="134"/>
      <c r="X59" s="134"/>
      <c r="Y59" s="134"/>
      <c r="Z59" s="134"/>
      <c r="AA59" s="134"/>
      <c r="AB59" s="119"/>
      <c r="AC59" s="119"/>
      <c r="AD59" s="119"/>
      <c r="AE59" s="119"/>
      <c r="AF59" s="119"/>
      <c r="AG59" s="119"/>
      <c r="AH59" s="154"/>
      <c r="AI59" s="154"/>
      <c r="AJ59" s="154"/>
      <c r="AK59" s="166"/>
      <c r="AL59" s="148"/>
      <c r="AM59" s="149"/>
      <c r="AN59" s="149"/>
      <c r="AO59" s="150"/>
      <c r="AP59" s="153"/>
      <c r="AQ59" s="154"/>
      <c r="AR59" s="154"/>
      <c r="AS59" s="155"/>
      <c r="AU59" s="99"/>
      <c r="AV59" s="100"/>
      <c r="AW59" s="100"/>
      <c r="AX59" s="100"/>
      <c r="AY59" s="100"/>
      <c r="AZ59" s="100"/>
      <c r="BA59" s="100"/>
      <c r="BB59" s="100"/>
      <c r="BC59" s="100"/>
      <c r="BD59" s="100"/>
      <c r="BE59" s="100"/>
      <c r="BF59" s="100"/>
      <c r="BG59" s="100"/>
      <c r="BH59" s="100"/>
      <c r="BI59" s="100"/>
      <c r="BJ59" s="100"/>
      <c r="BK59" s="100"/>
      <c r="BL59" s="100"/>
      <c r="BM59" s="100"/>
      <c r="BN59" s="100"/>
      <c r="BO59" s="100"/>
      <c r="BP59" s="100"/>
      <c r="BQ59" s="100"/>
      <c r="BR59" s="100"/>
      <c r="BS59" s="100"/>
      <c r="BT59" s="100"/>
      <c r="BU59" s="100"/>
      <c r="BV59" s="100"/>
      <c r="BW59" s="100"/>
      <c r="BX59" s="100"/>
      <c r="BY59" s="100"/>
      <c r="BZ59" s="100"/>
      <c r="CA59" s="100"/>
      <c r="CB59" s="100"/>
      <c r="CC59" s="100"/>
      <c r="CD59" s="101"/>
      <c r="CF59" s="137"/>
      <c r="CG59" s="138"/>
      <c r="CH59" s="138"/>
      <c r="CI59" s="138"/>
      <c r="CJ59" s="68"/>
      <c r="CK59" s="68"/>
      <c r="CL59" s="68"/>
      <c r="CM59" s="68"/>
      <c r="CN59" s="68"/>
      <c r="CO59" s="68"/>
      <c r="CP59" s="68"/>
      <c r="CQ59" s="68"/>
      <c r="CR59" s="68"/>
      <c r="CS59" s="68"/>
      <c r="CT59" s="68"/>
      <c r="CU59" s="68"/>
      <c r="CV59" s="68"/>
      <c r="CW59" s="68"/>
      <c r="CX59" s="68"/>
      <c r="CY59" s="68"/>
      <c r="CZ59" s="68"/>
      <c r="DA59" s="68"/>
      <c r="DB59" s="68"/>
      <c r="DC59" s="68"/>
      <c r="DD59" s="68"/>
      <c r="DE59" s="68"/>
      <c r="DF59" s="68"/>
      <c r="DG59" s="68"/>
      <c r="DH59" s="68"/>
      <c r="DI59" s="68"/>
      <c r="DJ59" s="68"/>
      <c r="DK59" s="68"/>
      <c r="DL59" s="68"/>
      <c r="DM59" s="68"/>
      <c r="DN59" s="68"/>
      <c r="DO59" s="68"/>
      <c r="DP59" s="68"/>
      <c r="DQ59" s="68"/>
      <c r="DR59" s="68"/>
      <c r="DS59" s="68"/>
    </row>
    <row r="60" spans="1:123" ht="6" customHeight="1" x14ac:dyDescent="0.35">
      <c r="A60" s="156"/>
      <c r="B60" s="156"/>
      <c r="C60" s="156"/>
      <c r="D60" s="156"/>
      <c r="E60" s="134"/>
      <c r="F60" s="134"/>
      <c r="G60" s="134"/>
      <c r="H60" s="134"/>
      <c r="I60" s="134"/>
      <c r="J60" s="134"/>
      <c r="K60" s="134"/>
      <c r="L60" s="134"/>
      <c r="M60" s="134"/>
      <c r="N60" s="134"/>
      <c r="O60" s="134"/>
      <c r="P60" s="134"/>
      <c r="Q60" s="134"/>
      <c r="R60" s="134"/>
      <c r="S60" s="134"/>
      <c r="T60" s="134"/>
      <c r="U60" s="134"/>
      <c r="V60" s="134"/>
      <c r="W60" s="134"/>
      <c r="X60" s="134"/>
      <c r="Y60" s="134"/>
      <c r="Z60" s="134"/>
      <c r="AA60" s="134"/>
      <c r="AB60" s="119"/>
      <c r="AC60" s="119"/>
      <c r="AD60" s="119"/>
      <c r="AE60" s="119"/>
      <c r="AF60" s="119"/>
      <c r="AG60" s="119"/>
      <c r="AH60" s="135" t="s">
        <v>29</v>
      </c>
      <c r="AI60" s="157"/>
      <c r="AJ60" s="161"/>
      <c r="AK60" s="127"/>
      <c r="AL60" s="127"/>
      <c r="AM60" s="162"/>
      <c r="AN60" s="135" t="s">
        <v>21</v>
      </c>
      <c r="AO60" s="157"/>
      <c r="AP60" s="161">
        <f>P61</f>
        <v>0</v>
      </c>
      <c r="AQ60" s="127"/>
      <c r="AR60" s="127"/>
      <c r="AS60" s="128"/>
      <c r="AU60" s="102"/>
      <c r="AV60" s="103"/>
      <c r="AW60" s="103"/>
      <c r="AX60" s="103"/>
      <c r="AY60" s="103"/>
      <c r="AZ60" s="103"/>
      <c r="BA60" s="103"/>
      <c r="BB60" s="103"/>
      <c r="BC60" s="103"/>
      <c r="BD60" s="103"/>
      <c r="BE60" s="103"/>
      <c r="BF60" s="103"/>
      <c r="BG60" s="103"/>
      <c r="BH60" s="103"/>
      <c r="BI60" s="103"/>
      <c r="BJ60" s="103"/>
      <c r="BK60" s="103"/>
      <c r="BL60" s="103"/>
      <c r="BM60" s="103"/>
      <c r="BN60" s="103"/>
      <c r="BO60" s="103"/>
      <c r="BP60" s="103"/>
      <c r="BQ60" s="103"/>
      <c r="BR60" s="103"/>
      <c r="BS60" s="103"/>
      <c r="BT60" s="103"/>
      <c r="BU60" s="103"/>
      <c r="BV60" s="103"/>
      <c r="BW60" s="103"/>
      <c r="BX60" s="103"/>
      <c r="BY60" s="103"/>
      <c r="BZ60" s="103"/>
      <c r="CA60" s="103"/>
      <c r="CB60" s="103"/>
      <c r="CC60" s="103"/>
      <c r="CD60" s="104"/>
      <c r="CF60" s="137"/>
      <c r="CG60" s="138"/>
      <c r="CH60" s="138"/>
      <c r="CI60" s="138"/>
      <c r="CJ60" s="68"/>
      <c r="CK60" s="68"/>
      <c r="CL60" s="68"/>
      <c r="CM60" s="68"/>
      <c r="CN60" s="68"/>
      <c r="CO60" s="68"/>
      <c r="CP60" s="68"/>
      <c r="CQ60" s="68"/>
      <c r="CR60" s="68"/>
      <c r="CS60" s="68"/>
      <c r="CT60" s="68"/>
      <c r="CU60" s="68"/>
      <c r="CV60" s="68"/>
      <c r="CW60" s="68"/>
      <c r="CX60" s="68"/>
      <c r="CY60" s="68"/>
      <c r="CZ60" s="68"/>
      <c r="DA60" s="68"/>
      <c r="DB60" s="68"/>
      <c r="DC60" s="68"/>
      <c r="DD60" s="68"/>
      <c r="DE60" s="68"/>
      <c r="DF60" s="68"/>
      <c r="DG60" s="68"/>
      <c r="DH60" s="68"/>
      <c r="DI60" s="68"/>
      <c r="DJ60" s="68"/>
      <c r="DK60" s="68"/>
      <c r="DL60" s="68"/>
      <c r="DM60" s="68"/>
      <c r="DN60" s="68"/>
      <c r="DO60" s="68"/>
      <c r="DP60" s="68"/>
      <c r="DQ60" s="68"/>
      <c r="DR60" s="68"/>
      <c r="DS60" s="68"/>
    </row>
    <row r="61" spans="1:123" ht="6" customHeight="1" x14ac:dyDescent="0.35">
      <c r="A61" s="137" t="s">
        <v>54</v>
      </c>
      <c r="B61" s="138"/>
      <c r="C61" s="138"/>
      <c r="D61" s="139"/>
      <c r="E61" s="69"/>
      <c r="F61" s="70"/>
      <c r="G61" s="70"/>
      <c r="H61" s="70"/>
      <c r="I61" s="70"/>
      <c r="J61" s="70"/>
      <c r="K61" s="70"/>
      <c r="L61" s="70"/>
      <c r="M61" s="70"/>
      <c r="N61" s="70"/>
      <c r="O61" s="71"/>
      <c r="P61" s="69"/>
      <c r="Q61" s="71"/>
      <c r="R61" s="116"/>
      <c r="S61" s="116"/>
      <c r="T61" s="116"/>
      <c r="U61" s="116"/>
      <c r="V61" s="116"/>
      <c r="W61" s="116"/>
      <c r="X61" s="116"/>
      <c r="Y61" s="116"/>
      <c r="Z61" s="116"/>
      <c r="AA61" s="116"/>
      <c r="AB61" s="116"/>
      <c r="AC61" s="116"/>
      <c r="AD61" s="116"/>
      <c r="AE61" s="116"/>
      <c r="AF61" s="119">
        <f>_AE_CCost_6</f>
        <v>0</v>
      </c>
      <c r="AG61" s="119"/>
      <c r="AH61" s="118"/>
      <c r="AI61" s="158"/>
      <c r="AJ61" s="146"/>
      <c r="AK61" s="117"/>
      <c r="AL61" s="117"/>
      <c r="AM61" s="147"/>
      <c r="AN61" s="118"/>
      <c r="AO61" s="158"/>
      <c r="AP61" s="146"/>
      <c r="AQ61" s="117"/>
      <c r="AR61" s="117"/>
      <c r="AS61" s="129"/>
      <c r="AU61" s="99"/>
      <c r="AV61" s="100"/>
      <c r="AW61" s="100"/>
      <c r="AX61" s="100"/>
      <c r="AY61" s="100"/>
      <c r="AZ61" s="100"/>
      <c r="BA61" s="100"/>
      <c r="BB61" s="100"/>
      <c r="BC61" s="100"/>
      <c r="BD61" s="100"/>
      <c r="BE61" s="100"/>
      <c r="BF61" s="100"/>
      <c r="BG61" s="100"/>
      <c r="BH61" s="100"/>
      <c r="BI61" s="100"/>
      <c r="BJ61" s="100"/>
      <c r="BK61" s="100"/>
      <c r="BL61" s="100"/>
      <c r="BM61" s="100"/>
      <c r="BN61" s="100"/>
      <c r="BO61" s="100"/>
      <c r="BP61" s="100"/>
      <c r="BQ61" s="100"/>
      <c r="BR61" s="100"/>
      <c r="BS61" s="100"/>
      <c r="BT61" s="100"/>
      <c r="BU61" s="100"/>
      <c r="BV61" s="100"/>
      <c r="BW61" s="100"/>
      <c r="BX61" s="100"/>
      <c r="BY61" s="100"/>
      <c r="BZ61" s="100"/>
      <c r="CA61" s="100"/>
      <c r="CB61" s="100"/>
      <c r="CC61" s="100"/>
      <c r="CD61" s="101"/>
      <c r="CF61" s="137"/>
      <c r="CG61" s="138"/>
      <c r="CH61" s="138"/>
      <c r="CI61" s="138"/>
      <c r="CJ61" s="68" t="s">
        <v>220</v>
      </c>
      <c r="CK61" s="68"/>
      <c r="CL61" s="68"/>
      <c r="CM61" s="68"/>
      <c r="CN61" s="68"/>
      <c r="CO61" s="68"/>
      <c r="CP61" s="68"/>
      <c r="CQ61" s="68"/>
      <c r="CR61" s="68"/>
      <c r="CS61" s="68"/>
      <c r="CT61" s="68"/>
      <c r="CU61" s="68"/>
      <c r="CV61" s="68"/>
      <c r="CW61" s="68"/>
      <c r="CX61" s="68"/>
      <c r="CY61" s="68"/>
      <c r="CZ61" s="68"/>
      <c r="DA61" s="68"/>
      <c r="DB61" s="68"/>
      <c r="DC61" s="68"/>
      <c r="DD61" s="68"/>
      <c r="DE61" s="68"/>
      <c r="DF61" s="68"/>
      <c r="DG61" s="68"/>
      <c r="DH61" s="68"/>
      <c r="DI61" s="68"/>
      <c r="DJ61" s="68"/>
      <c r="DK61" s="68"/>
      <c r="DL61" s="68"/>
      <c r="DM61" s="68"/>
      <c r="DN61" s="68"/>
      <c r="DO61" s="68"/>
      <c r="DP61" s="68"/>
      <c r="DQ61" s="68"/>
      <c r="DR61" s="68"/>
      <c r="DS61" s="68"/>
    </row>
    <row r="62" spans="1:123" ht="6" customHeight="1" x14ac:dyDescent="0.35">
      <c r="A62" s="137"/>
      <c r="B62" s="138"/>
      <c r="C62" s="138"/>
      <c r="D62" s="139"/>
      <c r="E62" s="75"/>
      <c r="F62" s="76"/>
      <c r="G62" s="76"/>
      <c r="H62" s="76"/>
      <c r="I62" s="76"/>
      <c r="J62" s="76"/>
      <c r="K62" s="76"/>
      <c r="L62" s="76"/>
      <c r="M62" s="76"/>
      <c r="N62" s="76"/>
      <c r="O62" s="77"/>
      <c r="P62" s="75"/>
      <c r="Q62" s="77"/>
      <c r="R62" s="116"/>
      <c r="S62" s="116"/>
      <c r="T62" s="116"/>
      <c r="U62" s="116"/>
      <c r="V62" s="116"/>
      <c r="W62" s="116"/>
      <c r="X62" s="116"/>
      <c r="Y62" s="116"/>
      <c r="Z62" s="116"/>
      <c r="AA62" s="116"/>
      <c r="AB62" s="116"/>
      <c r="AC62" s="116"/>
      <c r="AD62" s="116"/>
      <c r="AE62" s="116"/>
      <c r="AF62" s="119"/>
      <c r="AG62" s="119"/>
      <c r="AH62" s="159"/>
      <c r="AI62" s="160"/>
      <c r="AJ62" s="148"/>
      <c r="AK62" s="149"/>
      <c r="AL62" s="149"/>
      <c r="AM62" s="150"/>
      <c r="AN62" s="159"/>
      <c r="AO62" s="160"/>
      <c r="AP62" s="148"/>
      <c r="AQ62" s="149"/>
      <c r="AR62" s="149"/>
      <c r="AS62" s="163"/>
      <c r="AU62" s="102"/>
      <c r="AV62" s="103"/>
      <c r="AW62" s="103"/>
      <c r="AX62" s="103"/>
      <c r="AY62" s="103"/>
      <c r="AZ62" s="103"/>
      <c r="BA62" s="103"/>
      <c r="BB62" s="103"/>
      <c r="BC62" s="103"/>
      <c r="BD62" s="103"/>
      <c r="BE62" s="103"/>
      <c r="BF62" s="103"/>
      <c r="BG62" s="103"/>
      <c r="BH62" s="103"/>
      <c r="BI62" s="103"/>
      <c r="BJ62" s="103"/>
      <c r="BK62" s="103"/>
      <c r="BL62" s="103"/>
      <c r="BM62" s="103"/>
      <c r="BN62" s="103"/>
      <c r="BO62" s="103"/>
      <c r="BP62" s="103"/>
      <c r="BQ62" s="103"/>
      <c r="BR62" s="103"/>
      <c r="BS62" s="103"/>
      <c r="BT62" s="103"/>
      <c r="BU62" s="103"/>
      <c r="BV62" s="103"/>
      <c r="BW62" s="103"/>
      <c r="BX62" s="103"/>
      <c r="BY62" s="103"/>
      <c r="BZ62" s="103"/>
      <c r="CA62" s="103"/>
      <c r="CB62" s="103"/>
      <c r="CC62" s="103"/>
      <c r="CD62" s="104"/>
      <c r="CF62" s="140"/>
      <c r="CG62" s="141"/>
      <c r="CH62" s="141"/>
      <c r="CI62" s="141"/>
      <c r="CJ62" s="68"/>
      <c r="CK62" s="68"/>
      <c r="CL62" s="68"/>
      <c r="CM62" s="68"/>
      <c r="CN62" s="68"/>
      <c r="CO62" s="68"/>
      <c r="CP62" s="68"/>
      <c r="CQ62" s="68"/>
      <c r="CR62" s="68"/>
      <c r="CS62" s="68"/>
      <c r="CT62" s="68"/>
      <c r="CU62" s="68"/>
      <c r="CV62" s="68"/>
      <c r="CW62" s="68"/>
      <c r="CX62" s="68"/>
      <c r="CY62" s="68"/>
      <c r="CZ62" s="68"/>
      <c r="DA62" s="68"/>
      <c r="DB62" s="68"/>
      <c r="DC62" s="68"/>
      <c r="DD62" s="68"/>
      <c r="DE62" s="68"/>
      <c r="DF62" s="68"/>
      <c r="DG62" s="68"/>
      <c r="DH62" s="68"/>
      <c r="DI62" s="68"/>
      <c r="DJ62" s="68"/>
      <c r="DK62" s="68"/>
      <c r="DL62" s="68"/>
      <c r="DM62" s="68"/>
      <c r="DN62" s="68"/>
      <c r="DO62" s="68"/>
      <c r="DP62" s="68"/>
      <c r="DQ62" s="68"/>
      <c r="DR62" s="68"/>
      <c r="DS62" s="68"/>
    </row>
    <row r="63" spans="1:123" ht="6" customHeight="1" x14ac:dyDescent="0.35">
      <c r="A63" s="137"/>
      <c r="B63" s="138"/>
      <c r="C63" s="138"/>
      <c r="D63" s="139"/>
      <c r="E63" s="123"/>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35" t="s">
        <v>22</v>
      </c>
      <c r="AN63" s="135"/>
      <c r="AO63" s="135"/>
      <c r="AP63" s="127">
        <f>IFERROR(ATR_6-MAX(A_Bulk_6,AR_Bulk),"")</f>
        <v>1</v>
      </c>
      <c r="AQ63" s="127"/>
      <c r="AR63" s="127"/>
      <c r="AS63" s="128"/>
      <c r="AU63" s="67" t="s">
        <v>35</v>
      </c>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67"/>
      <c r="BT63" s="67"/>
      <c r="BU63" s="67"/>
      <c r="BV63" s="67"/>
      <c r="BW63" s="67"/>
      <c r="BX63" s="67"/>
      <c r="BY63" s="67"/>
      <c r="BZ63" s="67"/>
      <c r="CA63" s="67"/>
      <c r="CB63" s="67"/>
      <c r="CC63" s="67"/>
      <c r="CD63" s="67"/>
      <c r="CE63" s="50"/>
      <c r="CF63" s="156" t="s">
        <v>18</v>
      </c>
      <c r="CG63" s="156"/>
      <c r="CH63" s="156"/>
      <c r="CI63" s="156"/>
      <c r="CJ63" s="68" t="s">
        <v>219</v>
      </c>
      <c r="CK63" s="68"/>
      <c r="CL63" s="68"/>
      <c r="CM63" s="68"/>
      <c r="CN63" s="68"/>
      <c r="CO63" s="68"/>
      <c r="CP63" s="68"/>
      <c r="CQ63" s="68"/>
      <c r="CR63" s="68"/>
      <c r="CS63" s="68"/>
      <c r="CT63" s="68"/>
      <c r="CU63" s="68"/>
      <c r="CV63" s="68"/>
      <c r="CW63" s="68"/>
      <c r="CX63" s="68"/>
      <c r="CY63" s="68"/>
      <c r="CZ63" s="68"/>
      <c r="DA63" s="68"/>
      <c r="DB63" s="119" t="str">
        <f>_xlfn.XLOOKUP(CJ65,BroadSkills,BroadSkillAspects,"",0,1)</f>
        <v>Mind</v>
      </c>
      <c r="DC63" s="119"/>
      <c r="DD63" s="119"/>
      <c r="DE63" s="119"/>
      <c r="DF63" s="119"/>
      <c r="DG63" s="119"/>
      <c r="DH63" s="116">
        <v>3</v>
      </c>
      <c r="DI63" s="116"/>
      <c r="DJ63" s="116"/>
      <c r="DK63" s="116"/>
      <c r="DL63" s="117">
        <f>IF(_OCTR_3&gt;0,_OCTR_3,"")</f>
        <v>1</v>
      </c>
      <c r="DM63" s="117"/>
      <c r="DN63" s="117"/>
      <c r="DO63" s="117"/>
      <c r="DP63" s="116">
        <v>8</v>
      </c>
      <c r="DQ63" s="116"/>
      <c r="DR63" s="116"/>
      <c r="DS63" s="116"/>
    </row>
    <row r="64" spans="1:123" ht="6" customHeight="1" x14ac:dyDescent="0.35">
      <c r="A64" s="137"/>
      <c r="B64" s="138"/>
      <c r="C64" s="138"/>
      <c r="D64" s="139"/>
      <c r="E64" s="125"/>
      <c r="F64" s="126"/>
      <c r="G64" s="126"/>
      <c r="H64" s="126"/>
      <c r="I64" s="126"/>
      <c r="J64" s="126"/>
      <c r="K64" s="126"/>
      <c r="L64" s="126"/>
      <c r="M64" s="126"/>
      <c r="N64" s="126"/>
      <c r="O64" s="126"/>
      <c r="P64" s="126"/>
      <c r="Q64" s="126"/>
      <c r="R64" s="126"/>
      <c r="S64" s="126"/>
      <c r="T64" s="126"/>
      <c r="U64" s="126"/>
      <c r="V64" s="126"/>
      <c r="W64" s="126"/>
      <c r="X64" s="126"/>
      <c r="Y64" s="126"/>
      <c r="Z64" s="126"/>
      <c r="AA64" s="126"/>
      <c r="AB64" s="126"/>
      <c r="AC64" s="126"/>
      <c r="AD64" s="126"/>
      <c r="AE64" s="126"/>
      <c r="AF64" s="126"/>
      <c r="AG64" s="126"/>
      <c r="AH64" s="126"/>
      <c r="AI64" s="126"/>
      <c r="AJ64" s="126"/>
      <c r="AK64" s="126"/>
      <c r="AL64" s="126"/>
      <c r="AM64" s="118"/>
      <c r="AN64" s="118"/>
      <c r="AO64" s="118"/>
      <c r="AP64" s="117"/>
      <c r="AQ64" s="117"/>
      <c r="AR64" s="117"/>
      <c r="AS64" s="129"/>
      <c r="AU64" s="67"/>
      <c r="AV64" s="67"/>
      <c r="AW64" s="67"/>
      <c r="AX64" s="67"/>
      <c r="AY64" s="67"/>
      <c r="AZ64" s="67"/>
      <c r="BA64" s="67"/>
      <c r="BB64" s="67"/>
      <c r="BC64" s="67"/>
      <c r="BD64" s="67"/>
      <c r="BE64" s="67"/>
      <c r="BF64" s="67"/>
      <c r="BG64" s="67"/>
      <c r="BH64" s="67"/>
      <c r="BI64" s="67"/>
      <c r="BJ64" s="67"/>
      <c r="BK64" s="67"/>
      <c r="BL64" s="67"/>
      <c r="BM64" s="67"/>
      <c r="BN64" s="67"/>
      <c r="BO64" s="67"/>
      <c r="BP64" s="67"/>
      <c r="BQ64" s="67"/>
      <c r="BR64" s="67"/>
      <c r="BS64" s="67"/>
      <c r="BT64" s="67"/>
      <c r="BU64" s="67"/>
      <c r="BV64" s="67"/>
      <c r="BW64" s="67"/>
      <c r="BX64" s="67"/>
      <c r="BY64" s="67"/>
      <c r="BZ64" s="67"/>
      <c r="CA64" s="67"/>
      <c r="CB64" s="67"/>
      <c r="CC64" s="67"/>
      <c r="CD64" s="67"/>
      <c r="CE64" s="50"/>
      <c r="CF64" s="156"/>
      <c r="CG64" s="156"/>
      <c r="CH64" s="156"/>
      <c r="CI64" s="156"/>
      <c r="CJ64" s="68"/>
      <c r="CK64" s="68"/>
      <c r="CL64" s="68"/>
      <c r="CM64" s="68"/>
      <c r="CN64" s="68"/>
      <c r="CO64" s="68"/>
      <c r="CP64" s="68"/>
      <c r="CQ64" s="68"/>
      <c r="CR64" s="68"/>
      <c r="CS64" s="68"/>
      <c r="CT64" s="68"/>
      <c r="CU64" s="68"/>
      <c r="CV64" s="68"/>
      <c r="CW64" s="68"/>
      <c r="CX64" s="68"/>
      <c r="CY64" s="68"/>
      <c r="CZ64" s="68"/>
      <c r="DA64" s="68"/>
      <c r="DB64" s="119"/>
      <c r="DC64" s="119"/>
      <c r="DD64" s="119"/>
      <c r="DE64" s="119"/>
      <c r="DF64" s="119"/>
      <c r="DG64" s="119"/>
      <c r="DH64" s="116"/>
      <c r="DI64" s="116"/>
      <c r="DJ64" s="116"/>
      <c r="DK64" s="116"/>
      <c r="DL64" s="117"/>
      <c r="DM64" s="117"/>
      <c r="DN64" s="117"/>
      <c r="DO64" s="117"/>
      <c r="DP64" s="116"/>
      <c r="DQ64" s="116"/>
      <c r="DR64" s="116"/>
      <c r="DS64" s="116"/>
    </row>
    <row r="65" spans="1:123" ht="6" customHeight="1" x14ac:dyDescent="0.35">
      <c r="A65" s="137"/>
      <c r="B65" s="138"/>
      <c r="C65" s="138"/>
      <c r="D65" s="139"/>
      <c r="E65" s="123"/>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18"/>
      <c r="AN65" s="118"/>
      <c r="AO65" s="118"/>
      <c r="AP65" s="117"/>
      <c r="AQ65" s="117"/>
      <c r="AR65" s="117"/>
      <c r="AS65" s="129"/>
      <c r="AU65" s="99"/>
      <c r="AV65" s="100"/>
      <c r="AW65" s="100"/>
      <c r="AX65" s="100"/>
      <c r="AY65" s="100"/>
      <c r="AZ65" s="100"/>
      <c r="BA65" s="100"/>
      <c r="BB65" s="100"/>
      <c r="BC65" s="100"/>
      <c r="BD65" s="100"/>
      <c r="BE65" s="100"/>
      <c r="BF65" s="100"/>
      <c r="BG65" s="100"/>
      <c r="BH65" s="100"/>
      <c r="BI65" s="100"/>
      <c r="BJ65" s="100"/>
      <c r="BK65" s="100"/>
      <c r="BL65" s="100"/>
      <c r="BM65" s="100"/>
      <c r="BN65" s="100"/>
      <c r="BO65" s="100"/>
      <c r="BP65" s="100"/>
      <c r="BQ65" s="100"/>
      <c r="BR65" s="100"/>
      <c r="BS65" s="100"/>
      <c r="BT65" s="100"/>
      <c r="BU65" s="100"/>
      <c r="BV65" s="100"/>
      <c r="BW65" s="100"/>
      <c r="BX65" s="100"/>
      <c r="BY65" s="100"/>
      <c r="BZ65" s="100"/>
      <c r="CA65" s="100"/>
      <c r="CB65" s="100"/>
      <c r="CC65" s="100"/>
      <c r="CD65" s="101"/>
      <c r="CE65" s="50"/>
      <c r="CF65" s="156" t="s">
        <v>19</v>
      </c>
      <c r="CG65" s="156"/>
      <c r="CH65" s="156"/>
      <c r="CI65" s="156"/>
      <c r="CJ65" s="68" t="s">
        <v>49</v>
      </c>
      <c r="CK65" s="68"/>
      <c r="CL65" s="68"/>
      <c r="CM65" s="68"/>
      <c r="CN65" s="68"/>
      <c r="CO65" s="68"/>
      <c r="CP65" s="68"/>
      <c r="CQ65" s="68"/>
      <c r="CR65" s="68"/>
      <c r="CS65" s="68"/>
      <c r="CT65" s="68"/>
      <c r="CU65" s="68"/>
      <c r="CV65" s="68"/>
      <c r="CW65" s="68"/>
      <c r="CX65" s="68"/>
      <c r="CY65" s="68"/>
      <c r="CZ65" s="68"/>
      <c r="DA65" s="68"/>
      <c r="DB65" s="119"/>
      <c r="DC65" s="119"/>
      <c r="DD65" s="119"/>
      <c r="DE65" s="119"/>
      <c r="DF65" s="119"/>
      <c r="DG65" s="119"/>
      <c r="DH65" s="116"/>
      <c r="DI65" s="116"/>
      <c r="DJ65" s="116"/>
      <c r="DK65" s="116"/>
      <c r="DL65" s="117"/>
      <c r="DM65" s="117"/>
      <c r="DN65" s="117"/>
      <c r="DO65" s="117"/>
      <c r="DP65" s="116"/>
      <c r="DQ65" s="116"/>
      <c r="DR65" s="116"/>
      <c r="DS65" s="116"/>
    </row>
    <row r="66" spans="1:123" ht="6" customHeight="1" x14ac:dyDescent="0.35">
      <c r="A66" s="140"/>
      <c r="B66" s="141"/>
      <c r="C66" s="141"/>
      <c r="D66" s="142"/>
      <c r="E66" s="132"/>
      <c r="F66" s="133"/>
      <c r="G66" s="133"/>
      <c r="H66" s="13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33"/>
      <c r="AI66" s="133"/>
      <c r="AJ66" s="133"/>
      <c r="AK66" s="133"/>
      <c r="AL66" s="133"/>
      <c r="AM66" s="136"/>
      <c r="AN66" s="136"/>
      <c r="AO66" s="136"/>
      <c r="AP66" s="130"/>
      <c r="AQ66" s="130"/>
      <c r="AR66" s="130"/>
      <c r="AS66" s="131"/>
      <c r="AU66" s="102"/>
      <c r="AV66" s="103"/>
      <c r="AW66" s="103"/>
      <c r="AX66" s="103"/>
      <c r="AY66" s="103"/>
      <c r="AZ66" s="103"/>
      <c r="BA66" s="103"/>
      <c r="BB66" s="103"/>
      <c r="BC66" s="103"/>
      <c r="BD66" s="103"/>
      <c r="BE66" s="103"/>
      <c r="BF66" s="103"/>
      <c r="BG66" s="103"/>
      <c r="BH66" s="103"/>
      <c r="BI66" s="103"/>
      <c r="BJ66" s="103"/>
      <c r="BK66" s="103"/>
      <c r="BL66" s="103"/>
      <c r="BM66" s="103"/>
      <c r="BN66" s="103"/>
      <c r="BO66" s="103"/>
      <c r="BP66" s="103"/>
      <c r="BQ66" s="103"/>
      <c r="BR66" s="103"/>
      <c r="BS66" s="103"/>
      <c r="BT66" s="103"/>
      <c r="BU66" s="103"/>
      <c r="BV66" s="103"/>
      <c r="BW66" s="103"/>
      <c r="BX66" s="103"/>
      <c r="BY66" s="103"/>
      <c r="BZ66" s="103"/>
      <c r="CA66" s="103"/>
      <c r="CB66" s="103"/>
      <c r="CC66" s="103"/>
      <c r="CD66" s="104"/>
      <c r="CE66" s="50"/>
      <c r="CF66" s="156"/>
      <c r="CG66" s="156"/>
      <c r="CH66" s="156"/>
      <c r="CI66" s="156"/>
      <c r="CJ66" s="68"/>
      <c r="CK66" s="68"/>
      <c r="CL66" s="68"/>
      <c r="CM66" s="68"/>
      <c r="CN66" s="68"/>
      <c r="CO66" s="68"/>
      <c r="CP66" s="68"/>
      <c r="CQ66" s="68"/>
      <c r="CR66" s="68"/>
      <c r="CS66" s="68"/>
      <c r="CT66" s="68"/>
      <c r="CU66" s="68"/>
      <c r="CV66" s="68"/>
      <c r="CW66" s="68"/>
      <c r="CX66" s="68"/>
      <c r="CY66" s="68"/>
      <c r="CZ66" s="68"/>
      <c r="DA66" s="68"/>
      <c r="DB66" s="119"/>
      <c r="DC66" s="119"/>
      <c r="DD66" s="119"/>
      <c r="DE66" s="119"/>
      <c r="DF66" s="119"/>
      <c r="DG66" s="119"/>
      <c r="DH66" s="116"/>
      <c r="DI66" s="116"/>
      <c r="DJ66" s="116"/>
      <c r="DK66" s="116"/>
      <c r="DN66" s="118" t="s">
        <v>29</v>
      </c>
      <c r="DO66" s="118"/>
      <c r="DP66" s="119"/>
      <c r="DQ66" s="119"/>
      <c r="DR66" s="119"/>
      <c r="DS66" s="119"/>
    </row>
    <row r="67" spans="1:123" ht="6" customHeight="1" x14ac:dyDescent="0.35">
      <c r="A67" s="156" t="s">
        <v>18</v>
      </c>
      <c r="B67" s="156"/>
      <c r="C67" s="156"/>
      <c r="D67" s="156"/>
      <c r="E67" s="134" t="s">
        <v>215</v>
      </c>
      <c r="F67" s="134"/>
      <c r="G67" s="134"/>
      <c r="H67" s="134"/>
      <c r="I67" s="134"/>
      <c r="J67" s="134"/>
      <c r="K67" s="134"/>
      <c r="L67" s="134"/>
      <c r="M67" s="134"/>
      <c r="N67" s="134"/>
      <c r="O67" s="134"/>
      <c r="P67" s="134"/>
      <c r="Q67" s="134"/>
      <c r="R67" s="134"/>
      <c r="S67" s="134"/>
      <c r="T67" s="134"/>
      <c r="U67" s="134"/>
      <c r="V67" s="134"/>
      <c r="W67" s="134"/>
      <c r="X67" s="134"/>
      <c r="Y67" s="134"/>
      <c r="Z67" s="134"/>
      <c r="AA67" s="134"/>
      <c r="AB67" s="119" t="str">
        <f>_xlfn.XLOOKUP(E69,BroadSkills,BroadSkillAspects,"",0,1)</f>
        <v>Mind</v>
      </c>
      <c r="AC67" s="119"/>
      <c r="AD67" s="119"/>
      <c r="AE67" s="119"/>
      <c r="AF67" s="119"/>
      <c r="AG67" s="119"/>
      <c r="AH67" s="70">
        <v>4</v>
      </c>
      <c r="AI67" s="70"/>
      <c r="AJ67" s="70"/>
      <c r="AK67" s="164"/>
      <c r="AL67" s="143">
        <f>IF(_ACTR_7&gt;0,_ACTR_7,"")</f>
        <v>1</v>
      </c>
      <c r="AM67" s="144"/>
      <c r="AN67" s="144"/>
      <c r="AO67" s="145"/>
      <c r="AP67" s="151">
        <v>9</v>
      </c>
      <c r="AQ67" s="70"/>
      <c r="AR67" s="70"/>
      <c r="AS67" s="71"/>
      <c r="AU67" s="99"/>
      <c r="AV67" s="100"/>
      <c r="AW67" s="100"/>
      <c r="AX67" s="100"/>
      <c r="AY67" s="100"/>
      <c r="AZ67" s="100"/>
      <c r="BA67" s="100"/>
      <c r="BB67" s="100"/>
      <c r="BC67" s="100"/>
      <c r="BD67" s="100"/>
      <c r="BE67" s="100"/>
      <c r="BF67" s="100"/>
      <c r="BG67" s="100"/>
      <c r="BH67" s="100"/>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1"/>
      <c r="CE67" s="50"/>
      <c r="CF67" s="137" t="s">
        <v>54</v>
      </c>
      <c r="CG67" s="138"/>
      <c r="CH67" s="138"/>
      <c r="CI67" s="138"/>
      <c r="CJ67" s="121"/>
      <c r="CK67" s="121"/>
      <c r="CL67" s="121"/>
      <c r="CM67" s="121"/>
      <c r="CN67" s="121"/>
      <c r="CO67" s="121"/>
      <c r="CP67" s="121"/>
      <c r="CQ67" s="121"/>
      <c r="CR67" s="121"/>
      <c r="CS67" s="121"/>
      <c r="CT67" s="121"/>
      <c r="CU67" s="121"/>
      <c r="CV67" s="69"/>
      <c r="CW67" s="71"/>
      <c r="CX67" s="116">
        <v>0</v>
      </c>
      <c r="CY67" s="116"/>
      <c r="CZ67" s="116"/>
      <c r="DA67" s="116"/>
      <c r="DB67" s="116"/>
      <c r="DC67" s="116"/>
      <c r="DD67" s="116"/>
      <c r="DE67" s="116"/>
      <c r="DF67" s="116">
        <v>0</v>
      </c>
      <c r="DG67" s="116"/>
      <c r="DH67" s="116"/>
      <c r="DI67" s="116"/>
      <c r="DJ67" s="116"/>
      <c r="DK67" s="116"/>
      <c r="DL67" s="121"/>
      <c r="DM67" s="121"/>
      <c r="DN67" s="118"/>
      <c r="DO67" s="118"/>
      <c r="DP67" s="119"/>
      <c r="DQ67" s="119"/>
      <c r="DR67" s="119"/>
      <c r="DS67" s="119"/>
    </row>
    <row r="68" spans="1:123" ht="6" customHeight="1" x14ac:dyDescent="0.35">
      <c r="A68" s="156"/>
      <c r="B68" s="156"/>
      <c r="C68" s="156"/>
      <c r="D68" s="156"/>
      <c r="E68" s="134"/>
      <c r="F68" s="134"/>
      <c r="G68" s="134"/>
      <c r="H68" s="134"/>
      <c r="I68" s="134"/>
      <c r="J68" s="134"/>
      <c r="K68" s="134"/>
      <c r="L68" s="134"/>
      <c r="M68" s="134"/>
      <c r="N68" s="134"/>
      <c r="O68" s="134"/>
      <c r="P68" s="134"/>
      <c r="Q68" s="134"/>
      <c r="R68" s="134"/>
      <c r="S68" s="134"/>
      <c r="T68" s="134"/>
      <c r="U68" s="134"/>
      <c r="V68" s="134"/>
      <c r="W68" s="134"/>
      <c r="X68" s="134"/>
      <c r="Y68" s="134"/>
      <c r="Z68" s="134"/>
      <c r="AA68" s="134"/>
      <c r="AB68" s="119"/>
      <c r="AC68" s="119"/>
      <c r="AD68" s="119"/>
      <c r="AE68" s="119"/>
      <c r="AF68" s="119"/>
      <c r="AG68" s="119"/>
      <c r="AH68" s="73"/>
      <c r="AI68" s="73"/>
      <c r="AJ68" s="73"/>
      <c r="AK68" s="165"/>
      <c r="AL68" s="146"/>
      <c r="AM68" s="117"/>
      <c r="AN68" s="117"/>
      <c r="AO68" s="147"/>
      <c r="AP68" s="152"/>
      <c r="AQ68" s="73"/>
      <c r="AR68" s="73"/>
      <c r="AS68" s="74"/>
      <c r="AU68" s="102"/>
      <c r="AV68" s="103"/>
      <c r="AW68" s="103"/>
      <c r="AX68" s="103"/>
      <c r="AY68" s="103"/>
      <c r="AZ68" s="103"/>
      <c r="BA68" s="103"/>
      <c r="BB68" s="103"/>
      <c r="BC68" s="103"/>
      <c r="BD68" s="103"/>
      <c r="BE68" s="103"/>
      <c r="BF68" s="103"/>
      <c r="BG68" s="103"/>
      <c r="BH68" s="103"/>
      <c r="BI68" s="103"/>
      <c r="BJ68" s="103"/>
      <c r="BK68" s="103"/>
      <c r="BL68" s="103"/>
      <c r="BM68" s="103"/>
      <c r="BN68" s="103"/>
      <c r="BO68" s="103"/>
      <c r="BP68" s="103"/>
      <c r="BQ68" s="103"/>
      <c r="BR68" s="103"/>
      <c r="BS68" s="103"/>
      <c r="BT68" s="103"/>
      <c r="BU68" s="103"/>
      <c r="BV68" s="103"/>
      <c r="BW68" s="103"/>
      <c r="BX68" s="103"/>
      <c r="BY68" s="103"/>
      <c r="BZ68" s="103"/>
      <c r="CA68" s="103"/>
      <c r="CB68" s="103"/>
      <c r="CC68" s="103"/>
      <c r="CD68" s="104"/>
      <c r="CE68" s="50"/>
      <c r="CF68" s="137"/>
      <c r="CG68" s="138"/>
      <c r="CH68" s="138"/>
      <c r="CI68" s="138"/>
      <c r="CJ68" s="121"/>
      <c r="CK68" s="121"/>
      <c r="CL68" s="121"/>
      <c r="CM68" s="121"/>
      <c r="CN68" s="121"/>
      <c r="CO68" s="121"/>
      <c r="CP68" s="121"/>
      <c r="CQ68" s="121"/>
      <c r="CR68" s="121"/>
      <c r="CS68" s="121"/>
      <c r="CT68" s="121"/>
      <c r="CU68" s="121"/>
      <c r="CV68" s="75"/>
      <c r="CW68" s="77"/>
      <c r="CX68" s="116"/>
      <c r="CY68" s="116"/>
      <c r="CZ68" s="116"/>
      <c r="DA68" s="116"/>
      <c r="DB68" s="116"/>
      <c r="DC68" s="116"/>
      <c r="DD68" s="116"/>
      <c r="DE68" s="116"/>
      <c r="DF68" s="116"/>
      <c r="DG68" s="116"/>
      <c r="DH68" s="116"/>
      <c r="DI68" s="116"/>
      <c r="DJ68" s="116"/>
      <c r="DK68" s="116"/>
      <c r="DL68" s="122"/>
      <c r="DM68" s="122"/>
      <c r="DN68" s="118"/>
      <c r="DO68" s="118"/>
      <c r="DP68" s="120"/>
      <c r="DQ68" s="120"/>
      <c r="DR68" s="120"/>
      <c r="DS68" s="120"/>
    </row>
    <row r="69" spans="1:123" ht="6" customHeight="1" x14ac:dyDescent="0.35">
      <c r="A69" s="156" t="s">
        <v>19</v>
      </c>
      <c r="B69" s="156"/>
      <c r="C69" s="156"/>
      <c r="D69" s="156"/>
      <c r="E69" s="134" t="s">
        <v>40</v>
      </c>
      <c r="F69" s="134"/>
      <c r="G69" s="134"/>
      <c r="H69" s="134"/>
      <c r="I69" s="134"/>
      <c r="J69" s="134"/>
      <c r="K69" s="134"/>
      <c r="L69" s="134"/>
      <c r="M69" s="134"/>
      <c r="N69" s="134"/>
      <c r="O69" s="134"/>
      <c r="P69" s="134"/>
      <c r="Q69" s="134"/>
      <c r="R69" s="134"/>
      <c r="S69" s="134"/>
      <c r="T69" s="134"/>
      <c r="U69" s="134"/>
      <c r="V69" s="134"/>
      <c r="W69" s="134"/>
      <c r="X69" s="134"/>
      <c r="Y69" s="134"/>
      <c r="Z69" s="134"/>
      <c r="AA69" s="134"/>
      <c r="AB69" s="119"/>
      <c r="AC69" s="119"/>
      <c r="AD69" s="119"/>
      <c r="AE69" s="119"/>
      <c r="AF69" s="119"/>
      <c r="AG69" s="119"/>
      <c r="AH69" s="154"/>
      <c r="AI69" s="154"/>
      <c r="AJ69" s="154"/>
      <c r="AK69" s="166"/>
      <c r="AL69" s="148"/>
      <c r="AM69" s="149"/>
      <c r="AN69" s="149"/>
      <c r="AO69" s="150"/>
      <c r="AP69" s="153"/>
      <c r="AQ69" s="154"/>
      <c r="AR69" s="154"/>
      <c r="AS69" s="155"/>
      <c r="AU69" s="99"/>
      <c r="AV69" s="100"/>
      <c r="AW69" s="100"/>
      <c r="AX69" s="100"/>
      <c r="AY69" s="100"/>
      <c r="AZ69" s="100"/>
      <c r="BA69" s="100"/>
      <c r="BB69" s="100"/>
      <c r="BC69" s="100"/>
      <c r="BD69" s="100"/>
      <c r="BE69" s="100"/>
      <c r="BF69" s="100"/>
      <c r="BG69" s="100"/>
      <c r="BH69" s="100"/>
      <c r="BI69" s="100"/>
      <c r="BJ69" s="100"/>
      <c r="BK69" s="100"/>
      <c r="BL69" s="100"/>
      <c r="BM69" s="100"/>
      <c r="BN69" s="100"/>
      <c r="BO69" s="100"/>
      <c r="BP69" s="100"/>
      <c r="BQ69" s="100"/>
      <c r="BR69" s="100"/>
      <c r="BS69" s="100"/>
      <c r="BT69" s="100"/>
      <c r="BU69" s="100"/>
      <c r="BV69" s="100"/>
      <c r="BW69" s="100"/>
      <c r="BX69" s="100"/>
      <c r="BY69" s="100"/>
      <c r="BZ69" s="100"/>
      <c r="CA69" s="100"/>
      <c r="CB69" s="100"/>
      <c r="CC69" s="100"/>
      <c r="CD69" s="101"/>
      <c r="CE69" s="50"/>
      <c r="CF69" s="137"/>
      <c r="CG69" s="138"/>
      <c r="CH69" s="138"/>
      <c r="CI69" s="138"/>
      <c r="CJ69" s="68"/>
      <c r="CK69" s="68"/>
      <c r="CL69" s="68"/>
      <c r="CM69" s="68"/>
      <c r="CN69" s="68"/>
      <c r="CO69" s="68"/>
      <c r="CP69" s="68"/>
      <c r="CQ69" s="68"/>
      <c r="CR69" s="68"/>
      <c r="CS69" s="68"/>
      <c r="CT69" s="68"/>
      <c r="CU69" s="68"/>
      <c r="CV69" s="68"/>
      <c r="CW69" s="68"/>
      <c r="CX69" s="68"/>
      <c r="CY69" s="68"/>
      <c r="CZ69" s="68"/>
      <c r="DA69" s="68"/>
      <c r="DB69" s="68"/>
      <c r="DC69" s="68"/>
      <c r="DD69" s="68"/>
      <c r="DE69" s="68"/>
      <c r="DF69" s="68"/>
      <c r="DG69" s="68"/>
      <c r="DH69" s="68"/>
      <c r="DI69" s="68"/>
      <c r="DJ69" s="68"/>
      <c r="DK69" s="68"/>
      <c r="DL69" s="68"/>
      <c r="DM69" s="68"/>
      <c r="DN69" s="68"/>
      <c r="DO69" s="68"/>
      <c r="DP69" s="68"/>
      <c r="DQ69" s="68"/>
      <c r="DR69" s="68"/>
      <c r="DS69" s="68"/>
    </row>
    <row r="70" spans="1:123" ht="6" customHeight="1" x14ac:dyDescent="0.35">
      <c r="A70" s="156"/>
      <c r="B70" s="156"/>
      <c r="C70" s="156"/>
      <c r="D70" s="156"/>
      <c r="E70" s="134"/>
      <c r="F70" s="134"/>
      <c r="G70" s="134"/>
      <c r="H70" s="134"/>
      <c r="I70" s="134"/>
      <c r="J70" s="134"/>
      <c r="K70" s="134"/>
      <c r="L70" s="134"/>
      <c r="M70" s="134"/>
      <c r="N70" s="134"/>
      <c r="O70" s="134"/>
      <c r="P70" s="134"/>
      <c r="Q70" s="134"/>
      <c r="R70" s="134"/>
      <c r="S70" s="134"/>
      <c r="T70" s="134"/>
      <c r="U70" s="134"/>
      <c r="V70" s="134"/>
      <c r="W70" s="134"/>
      <c r="X70" s="134"/>
      <c r="Y70" s="134"/>
      <c r="Z70" s="134"/>
      <c r="AA70" s="134"/>
      <c r="AB70" s="119"/>
      <c r="AC70" s="119"/>
      <c r="AD70" s="119"/>
      <c r="AE70" s="119"/>
      <c r="AF70" s="119"/>
      <c r="AG70" s="119"/>
      <c r="AH70" s="135" t="s">
        <v>29</v>
      </c>
      <c r="AI70" s="157"/>
      <c r="AJ70" s="161"/>
      <c r="AK70" s="127"/>
      <c r="AL70" s="127"/>
      <c r="AM70" s="162"/>
      <c r="AN70" s="135" t="s">
        <v>21</v>
      </c>
      <c r="AO70" s="157"/>
      <c r="AP70" s="161">
        <f>P71</f>
        <v>0</v>
      </c>
      <c r="AQ70" s="127"/>
      <c r="AR70" s="127"/>
      <c r="AS70" s="128"/>
      <c r="AU70" s="102"/>
      <c r="AV70" s="103"/>
      <c r="AW70" s="103"/>
      <c r="AX70" s="103"/>
      <c r="AY70" s="103"/>
      <c r="AZ70" s="103"/>
      <c r="BA70" s="103"/>
      <c r="BB70" s="103"/>
      <c r="BC70" s="103"/>
      <c r="BD70" s="103"/>
      <c r="BE70" s="103"/>
      <c r="BF70" s="103"/>
      <c r="BG70" s="103"/>
      <c r="BH70" s="103"/>
      <c r="BI70" s="103"/>
      <c r="BJ70" s="103"/>
      <c r="BK70" s="103"/>
      <c r="BL70" s="103"/>
      <c r="BM70" s="103"/>
      <c r="BN70" s="103"/>
      <c r="BO70" s="103"/>
      <c r="BP70" s="103"/>
      <c r="BQ70" s="103"/>
      <c r="BR70" s="103"/>
      <c r="BS70" s="103"/>
      <c r="BT70" s="103"/>
      <c r="BU70" s="103"/>
      <c r="BV70" s="103"/>
      <c r="BW70" s="103"/>
      <c r="BX70" s="103"/>
      <c r="BY70" s="103"/>
      <c r="BZ70" s="103"/>
      <c r="CA70" s="103"/>
      <c r="CB70" s="103"/>
      <c r="CC70" s="103"/>
      <c r="CD70" s="104"/>
      <c r="CE70" s="50"/>
      <c r="CF70" s="137"/>
      <c r="CG70" s="138"/>
      <c r="CH70" s="138"/>
      <c r="CI70" s="138"/>
      <c r="CJ70" s="68"/>
      <c r="CK70" s="68"/>
      <c r="CL70" s="68"/>
      <c r="CM70" s="68"/>
      <c r="CN70" s="68"/>
      <c r="CO70" s="68"/>
      <c r="CP70" s="68"/>
      <c r="CQ70" s="68"/>
      <c r="CR70" s="68"/>
      <c r="CS70" s="68"/>
      <c r="CT70" s="68"/>
      <c r="CU70" s="68"/>
      <c r="CV70" s="68"/>
      <c r="CW70" s="68"/>
      <c r="CX70" s="68"/>
      <c r="CY70" s="68"/>
      <c r="CZ70" s="68"/>
      <c r="DA70" s="68"/>
      <c r="DB70" s="68"/>
      <c r="DC70" s="68"/>
      <c r="DD70" s="68"/>
      <c r="DE70" s="68"/>
      <c r="DF70" s="68"/>
      <c r="DG70" s="68"/>
      <c r="DH70" s="68"/>
      <c r="DI70" s="68"/>
      <c r="DJ70" s="68"/>
      <c r="DK70" s="68"/>
      <c r="DL70" s="68"/>
      <c r="DM70" s="68"/>
      <c r="DN70" s="68"/>
      <c r="DO70" s="68"/>
      <c r="DP70" s="68"/>
      <c r="DQ70" s="68"/>
      <c r="DR70" s="68"/>
      <c r="DS70" s="68"/>
    </row>
    <row r="71" spans="1:123" ht="6" customHeight="1" x14ac:dyDescent="0.35">
      <c r="A71" s="137" t="s">
        <v>54</v>
      </c>
      <c r="B71" s="138"/>
      <c r="C71" s="138"/>
      <c r="D71" s="139"/>
      <c r="E71" s="69"/>
      <c r="F71" s="70"/>
      <c r="G71" s="70"/>
      <c r="H71" s="70"/>
      <c r="I71" s="70"/>
      <c r="J71" s="70"/>
      <c r="K71" s="70"/>
      <c r="L71" s="70"/>
      <c r="M71" s="70"/>
      <c r="N71" s="70"/>
      <c r="O71" s="71"/>
      <c r="P71" s="69"/>
      <c r="Q71" s="71"/>
      <c r="R71" s="116"/>
      <c r="S71" s="116"/>
      <c r="T71" s="116"/>
      <c r="U71" s="116"/>
      <c r="V71" s="116"/>
      <c r="W71" s="116"/>
      <c r="X71" s="116"/>
      <c r="Y71" s="116"/>
      <c r="Z71" s="116"/>
      <c r="AA71" s="116"/>
      <c r="AB71" s="116"/>
      <c r="AC71" s="116"/>
      <c r="AD71" s="116"/>
      <c r="AE71" s="116"/>
      <c r="AF71" s="119">
        <f>_AE_CCost_7</f>
        <v>0</v>
      </c>
      <c r="AG71" s="119"/>
      <c r="AH71" s="118"/>
      <c r="AI71" s="158"/>
      <c r="AJ71" s="146"/>
      <c r="AK71" s="117"/>
      <c r="AL71" s="117"/>
      <c r="AM71" s="147"/>
      <c r="AN71" s="118"/>
      <c r="AO71" s="158"/>
      <c r="AP71" s="146"/>
      <c r="AQ71" s="117"/>
      <c r="AR71" s="117"/>
      <c r="AS71" s="129"/>
      <c r="AU71" s="99"/>
      <c r="AV71" s="100"/>
      <c r="AW71" s="100"/>
      <c r="AX71" s="100"/>
      <c r="AY71" s="100"/>
      <c r="AZ71" s="100"/>
      <c r="BA71" s="100"/>
      <c r="BB71" s="100"/>
      <c r="BC71" s="100"/>
      <c r="BD71" s="100"/>
      <c r="BE71" s="100"/>
      <c r="BF71" s="100"/>
      <c r="BG71" s="100"/>
      <c r="BH71" s="100"/>
      <c r="BI71" s="100"/>
      <c r="BJ71" s="100"/>
      <c r="BK71" s="100"/>
      <c r="BL71" s="100"/>
      <c r="BM71" s="100"/>
      <c r="BN71" s="100"/>
      <c r="BO71" s="100"/>
      <c r="BP71" s="100"/>
      <c r="BQ71" s="100"/>
      <c r="BR71" s="100"/>
      <c r="BS71" s="100"/>
      <c r="BT71" s="100"/>
      <c r="BU71" s="100"/>
      <c r="BV71" s="100"/>
      <c r="BW71" s="100"/>
      <c r="BX71" s="100"/>
      <c r="BY71" s="100"/>
      <c r="BZ71" s="100"/>
      <c r="CA71" s="100"/>
      <c r="CB71" s="100"/>
      <c r="CC71" s="100"/>
      <c r="CD71" s="101"/>
      <c r="CE71" s="50"/>
      <c r="CF71" s="137"/>
      <c r="CG71" s="138"/>
      <c r="CH71" s="138"/>
      <c r="CI71" s="138"/>
      <c r="CJ71" s="68" t="s">
        <v>220</v>
      </c>
      <c r="CK71" s="68"/>
      <c r="CL71" s="68"/>
      <c r="CM71" s="68"/>
      <c r="CN71" s="68"/>
      <c r="CO71" s="68"/>
      <c r="CP71" s="68"/>
      <c r="CQ71" s="68"/>
      <c r="CR71" s="68"/>
      <c r="CS71" s="68"/>
      <c r="CT71" s="68"/>
      <c r="CU71" s="68"/>
      <c r="CV71" s="68"/>
      <c r="CW71" s="68"/>
      <c r="CX71" s="68"/>
      <c r="CY71" s="68"/>
      <c r="CZ71" s="68"/>
      <c r="DA71" s="68"/>
      <c r="DB71" s="68"/>
      <c r="DC71" s="68"/>
      <c r="DD71" s="68"/>
      <c r="DE71" s="68"/>
      <c r="DF71" s="68"/>
      <c r="DG71" s="68"/>
      <c r="DH71" s="68"/>
      <c r="DI71" s="68"/>
      <c r="DJ71" s="68"/>
      <c r="DK71" s="68"/>
      <c r="DL71" s="68"/>
      <c r="DM71" s="68"/>
      <c r="DN71" s="68"/>
      <c r="DO71" s="68"/>
      <c r="DP71" s="68"/>
      <c r="DQ71" s="68"/>
      <c r="DR71" s="68"/>
      <c r="DS71" s="68"/>
    </row>
    <row r="72" spans="1:123" ht="6" customHeight="1" x14ac:dyDescent="0.35">
      <c r="A72" s="137"/>
      <c r="B72" s="138"/>
      <c r="C72" s="138"/>
      <c r="D72" s="139"/>
      <c r="E72" s="75"/>
      <c r="F72" s="76"/>
      <c r="G72" s="76"/>
      <c r="H72" s="76"/>
      <c r="I72" s="76"/>
      <c r="J72" s="76"/>
      <c r="K72" s="76"/>
      <c r="L72" s="76"/>
      <c r="M72" s="76"/>
      <c r="N72" s="76"/>
      <c r="O72" s="77"/>
      <c r="P72" s="75"/>
      <c r="Q72" s="77"/>
      <c r="R72" s="116"/>
      <c r="S72" s="116"/>
      <c r="T72" s="116"/>
      <c r="U72" s="116"/>
      <c r="V72" s="116"/>
      <c r="W72" s="116"/>
      <c r="X72" s="116"/>
      <c r="Y72" s="116"/>
      <c r="Z72" s="116"/>
      <c r="AA72" s="116"/>
      <c r="AB72" s="116"/>
      <c r="AC72" s="116"/>
      <c r="AD72" s="116"/>
      <c r="AE72" s="116"/>
      <c r="AF72" s="119"/>
      <c r="AG72" s="119"/>
      <c r="AH72" s="159"/>
      <c r="AI72" s="160"/>
      <c r="AJ72" s="148"/>
      <c r="AK72" s="149"/>
      <c r="AL72" s="149"/>
      <c r="AM72" s="150"/>
      <c r="AN72" s="159"/>
      <c r="AO72" s="160"/>
      <c r="AP72" s="148"/>
      <c r="AQ72" s="149"/>
      <c r="AR72" s="149"/>
      <c r="AS72" s="163"/>
      <c r="AU72" s="102"/>
      <c r="AV72" s="103"/>
      <c r="AW72" s="103"/>
      <c r="AX72" s="103"/>
      <c r="AY72" s="103"/>
      <c r="AZ72" s="103"/>
      <c r="BA72" s="103"/>
      <c r="BB72" s="103"/>
      <c r="BC72" s="103"/>
      <c r="BD72" s="103"/>
      <c r="BE72" s="103"/>
      <c r="BF72" s="103"/>
      <c r="BG72" s="103"/>
      <c r="BH72" s="103"/>
      <c r="BI72" s="103"/>
      <c r="BJ72" s="103"/>
      <c r="BK72" s="103"/>
      <c r="BL72" s="103"/>
      <c r="BM72" s="103"/>
      <c r="BN72" s="103"/>
      <c r="BO72" s="103"/>
      <c r="BP72" s="103"/>
      <c r="BQ72" s="103"/>
      <c r="BR72" s="103"/>
      <c r="BS72" s="103"/>
      <c r="BT72" s="103"/>
      <c r="BU72" s="103"/>
      <c r="BV72" s="103"/>
      <c r="BW72" s="103"/>
      <c r="BX72" s="103"/>
      <c r="BY72" s="103"/>
      <c r="BZ72" s="103"/>
      <c r="CA72" s="103"/>
      <c r="CB72" s="103"/>
      <c r="CC72" s="103"/>
      <c r="CD72" s="104"/>
      <c r="CE72" s="50"/>
      <c r="CF72" s="140"/>
      <c r="CG72" s="141"/>
      <c r="CH72" s="141"/>
      <c r="CI72" s="141"/>
      <c r="CJ72" s="68"/>
      <c r="CK72" s="68"/>
      <c r="CL72" s="68"/>
      <c r="CM72" s="68"/>
      <c r="CN72" s="68"/>
      <c r="CO72" s="68"/>
      <c r="CP72" s="68"/>
      <c r="CQ72" s="68"/>
      <c r="CR72" s="68"/>
      <c r="CS72" s="68"/>
      <c r="CT72" s="68"/>
      <c r="CU72" s="68"/>
      <c r="CV72" s="68"/>
      <c r="CW72" s="68"/>
      <c r="CX72" s="68"/>
      <c r="CY72" s="68"/>
      <c r="CZ72" s="68"/>
      <c r="DA72" s="68"/>
      <c r="DB72" s="68"/>
      <c r="DC72" s="68"/>
      <c r="DD72" s="68"/>
      <c r="DE72" s="68"/>
      <c r="DF72" s="68"/>
      <c r="DG72" s="68"/>
      <c r="DH72" s="68"/>
      <c r="DI72" s="68"/>
      <c r="DJ72" s="68"/>
      <c r="DK72" s="68"/>
      <c r="DL72" s="68"/>
      <c r="DM72" s="68"/>
      <c r="DN72" s="68"/>
      <c r="DO72" s="68"/>
      <c r="DP72" s="68"/>
      <c r="DQ72" s="68"/>
      <c r="DR72" s="68"/>
      <c r="DS72" s="68"/>
    </row>
    <row r="73" spans="1:123" ht="6" customHeight="1" x14ac:dyDescent="0.35">
      <c r="A73" s="137"/>
      <c r="B73" s="138"/>
      <c r="C73" s="138"/>
      <c r="D73" s="139"/>
      <c r="E73" s="123"/>
      <c r="F73" s="124"/>
      <c r="G73" s="124"/>
      <c r="H73" s="124"/>
      <c r="I73" s="124"/>
      <c r="J73" s="124"/>
      <c r="K73" s="124"/>
      <c r="L73" s="124"/>
      <c r="M73" s="124"/>
      <c r="N73" s="124"/>
      <c r="O73" s="124"/>
      <c r="P73" s="124"/>
      <c r="Q73" s="124"/>
      <c r="R73" s="124"/>
      <c r="S73" s="124"/>
      <c r="T73" s="124"/>
      <c r="U73" s="124"/>
      <c r="V73" s="124"/>
      <c r="W73" s="124"/>
      <c r="X73" s="124"/>
      <c r="Y73" s="124"/>
      <c r="Z73" s="124"/>
      <c r="AA73" s="124"/>
      <c r="AB73" s="124"/>
      <c r="AC73" s="124"/>
      <c r="AD73" s="124"/>
      <c r="AE73" s="124"/>
      <c r="AF73" s="124"/>
      <c r="AG73" s="124"/>
      <c r="AH73" s="124"/>
      <c r="AI73" s="124"/>
      <c r="AJ73" s="124"/>
      <c r="AK73" s="124"/>
      <c r="AL73" s="124"/>
      <c r="AM73" s="135" t="s">
        <v>22</v>
      </c>
      <c r="AN73" s="135"/>
      <c r="AO73" s="135"/>
      <c r="AP73" s="127">
        <f>IFERROR(ATR_7-MAX(A_Bulk_7,AR_Bulk),"")</f>
        <v>1</v>
      </c>
      <c r="AQ73" s="127"/>
      <c r="AR73" s="127"/>
      <c r="AS73" s="128"/>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50"/>
      <c r="CF73" s="156" t="s">
        <v>18</v>
      </c>
      <c r="CG73" s="156"/>
      <c r="CH73" s="156"/>
      <c r="CI73" s="156"/>
      <c r="CJ73" s="68" t="s">
        <v>216</v>
      </c>
      <c r="CK73" s="68"/>
      <c r="CL73" s="68"/>
      <c r="CM73" s="68"/>
      <c r="CN73" s="68"/>
      <c r="CO73" s="68"/>
      <c r="CP73" s="68"/>
      <c r="CQ73" s="68"/>
      <c r="CR73" s="68"/>
      <c r="CS73" s="68"/>
      <c r="CT73" s="68"/>
      <c r="CU73" s="68"/>
      <c r="CV73" s="68"/>
      <c r="CW73" s="68"/>
      <c r="CX73" s="68"/>
      <c r="CY73" s="68"/>
      <c r="CZ73" s="68"/>
      <c r="DA73" s="68"/>
      <c r="DB73" s="119" t="str">
        <f>_xlfn.XLOOKUP(CJ75,BroadSkills,BroadSkillAspects,"",0,1)</f>
        <v>Mind</v>
      </c>
      <c r="DC73" s="119"/>
      <c r="DD73" s="119"/>
      <c r="DE73" s="119"/>
      <c r="DF73" s="119"/>
      <c r="DG73" s="119"/>
      <c r="DH73" s="116">
        <v>3</v>
      </c>
      <c r="DI73" s="116"/>
      <c r="DJ73" s="116"/>
      <c r="DK73" s="116"/>
      <c r="DL73" s="117">
        <f>IF(_OCTR_4&gt;0,_OCTR_4,"")</f>
        <v>1</v>
      </c>
      <c r="DM73" s="117"/>
      <c r="DN73" s="117"/>
      <c r="DO73" s="117"/>
      <c r="DP73" s="116">
        <v>9</v>
      </c>
      <c r="DQ73" s="116"/>
      <c r="DR73" s="116"/>
      <c r="DS73" s="116"/>
    </row>
    <row r="74" spans="1:123" ht="6" customHeight="1" x14ac:dyDescent="0.35">
      <c r="A74" s="137"/>
      <c r="B74" s="138"/>
      <c r="C74" s="138"/>
      <c r="D74" s="139"/>
      <c r="E74" s="125"/>
      <c r="F74" s="126"/>
      <c r="G74" s="126"/>
      <c r="H74" s="126"/>
      <c r="I74" s="126"/>
      <c r="J74" s="126"/>
      <c r="K74" s="126"/>
      <c r="L74" s="126"/>
      <c r="M74" s="126"/>
      <c r="N74" s="126"/>
      <c r="O74" s="126"/>
      <c r="P74" s="126"/>
      <c r="Q74" s="126"/>
      <c r="R74" s="126"/>
      <c r="S74" s="126"/>
      <c r="T74" s="126"/>
      <c r="U74" s="126"/>
      <c r="V74" s="126"/>
      <c r="W74" s="126"/>
      <c r="X74" s="126"/>
      <c r="Y74" s="126"/>
      <c r="Z74" s="126"/>
      <c r="AA74" s="126"/>
      <c r="AB74" s="126"/>
      <c r="AC74" s="126"/>
      <c r="AD74" s="126"/>
      <c r="AE74" s="126"/>
      <c r="AF74" s="126"/>
      <c r="AG74" s="126"/>
      <c r="AH74" s="126"/>
      <c r="AI74" s="126"/>
      <c r="AJ74" s="126"/>
      <c r="AK74" s="126"/>
      <c r="AL74" s="126"/>
      <c r="AM74" s="118"/>
      <c r="AN74" s="118"/>
      <c r="AO74" s="118"/>
      <c r="AP74" s="117"/>
      <c r="AQ74" s="117"/>
      <c r="AR74" s="117"/>
      <c r="AS74" s="129"/>
      <c r="AU74" s="105" t="s">
        <v>24</v>
      </c>
      <c r="AV74" s="105"/>
      <c r="AW74" s="105"/>
      <c r="AX74" s="105"/>
      <c r="AY74" s="105"/>
      <c r="AZ74" s="105"/>
      <c r="BA74" s="105"/>
      <c r="BB74" s="107" t="s">
        <v>26</v>
      </c>
      <c r="BC74" s="107"/>
      <c r="BD74" s="107"/>
      <c r="BE74" s="107"/>
      <c r="BF74" s="107"/>
      <c r="BG74" s="107"/>
      <c r="BH74" s="107"/>
      <c r="BI74" s="107"/>
      <c r="BJ74" s="107"/>
      <c r="BK74" s="107"/>
      <c r="BL74" s="107"/>
      <c r="BM74" s="107"/>
      <c r="BN74" s="107"/>
      <c r="BO74" s="107"/>
      <c r="BP74" s="107" t="s">
        <v>109</v>
      </c>
      <c r="BQ74" s="107"/>
      <c r="BR74" s="107"/>
      <c r="BS74" s="107"/>
      <c r="BT74" s="107"/>
      <c r="BU74" s="107" t="s">
        <v>110</v>
      </c>
      <c r="BV74" s="107"/>
      <c r="BW74" s="107"/>
      <c r="BX74" s="107"/>
      <c r="BY74" s="107"/>
      <c r="BZ74" s="105" t="s">
        <v>25</v>
      </c>
      <c r="CA74" s="105"/>
      <c r="CB74" s="105"/>
      <c r="CC74" s="105"/>
      <c r="CD74" s="105"/>
      <c r="CE74" s="50"/>
      <c r="CF74" s="156"/>
      <c r="CG74" s="156"/>
      <c r="CH74" s="156"/>
      <c r="CI74" s="156"/>
      <c r="CJ74" s="68"/>
      <c r="CK74" s="68"/>
      <c r="CL74" s="68"/>
      <c r="CM74" s="68"/>
      <c r="CN74" s="68"/>
      <c r="CO74" s="68"/>
      <c r="CP74" s="68"/>
      <c r="CQ74" s="68"/>
      <c r="CR74" s="68"/>
      <c r="CS74" s="68"/>
      <c r="CT74" s="68"/>
      <c r="CU74" s="68"/>
      <c r="CV74" s="68"/>
      <c r="CW74" s="68"/>
      <c r="CX74" s="68"/>
      <c r="CY74" s="68"/>
      <c r="CZ74" s="68"/>
      <c r="DA74" s="68"/>
      <c r="DB74" s="119"/>
      <c r="DC74" s="119"/>
      <c r="DD74" s="119"/>
      <c r="DE74" s="119"/>
      <c r="DF74" s="119"/>
      <c r="DG74" s="119"/>
      <c r="DH74" s="116"/>
      <c r="DI74" s="116"/>
      <c r="DJ74" s="116"/>
      <c r="DK74" s="116"/>
      <c r="DL74" s="117"/>
      <c r="DM74" s="117"/>
      <c r="DN74" s="117"/>
      <c r="DO74" s="117"/>
      <c r="DP74" s="116"/>
      <c r="DQ74" s="116"/>
      <c r="DR74" s="116"/>
      <c r="DS74" s="116"/>
    </row>
    <row r="75" spans="1:123" ht="6" customHeight="1" x14ac:dyDescent="0.35">
      <c r="A75" s="137"/>
      <c r="B75" s="138"/>
      <c r="C75" s="138"/>
      <c r="D75" s="139"/>
      <c r="E75" s="123"/>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18"/>
      <c r="AN75" s="118"/>
      <c r="AO75" s="118"/>
      <c r="AP75" s="117"/>
      <c r="AQ75" s="117"/>
      <c r="AR75" s="117"/>
      <c r="AS75" s="129"/>
      <c r="AU75" s="106"/>
      <c r="AV75" s="106"/>
      <c r="AW75" s="106"/>
      <c r="AX75" s="106"/>
      <c r="AY75" s="106"/>
      <c r="AZ75" s="106"/>
      <c r="BA75" s="106"/>
      <c r="BB75" s="109"/>
      <c r="BC75" s="109"/>
      <c r="BD75" s="109"/>
      <c r="BE75" s="109"/>
      <c r="BF75" s="109"/>
      <c r="BG75" s="109"/>
      <c r="BH75" s="109"/>
      <c r="BI75" s="109"/>
      <c r="BJ75" s="109"/>
      <c r="BK75" s="109"/>
      <c r="BL75" s="109"/>
      <c r="BM75" s="109"/>
      <c r="BN75" s="109"/>
      <c r="BO75" s="109"/>
      <c r="BP75" s="108"/>
      <c r="BQ75" s="108"/>
      <c r="BR75" s="108"/>
      <c r="BS75" s="108"/>
      <c r="BT75" s="108"/>
      <c r="BU75" s="108"/>
      <c r="BV75" s="108"/>
      <c r="BW75" s="108"/>
      <c r="BX75" s="108"/>
      <c r="BY75" s="108"/>
      <c r="BZ75" s="105"/>
      <c r="CA75" s="105"/>
      <c r="CB75" s="105"/>
      <c r="CC75" s="105"/>
      <c r="CD75" s="105"/>
      <c r="CE75" s="50"/>
      <c r="CF75" s="156" t="s">
        <v>19</v>
      </c>
      <c r="CG75" s="156"/>
      <c r="CH75" s="156"/>
      <c r="CI75" s="156"/>
      <c r="CJ75" s="68" t="s">
        <v>40</v>
      </c>
      <c r="CK75" s="68"/>
      <c r="CL75" s="68"/>
      <c r="CM75" s="68"/>
      <c r="CN75" s="68"/>
      <c r="CO75" s="68"/>
      <c r="CP75" s="68"/>
      <c r="CQ75" s="68"/>
      <c r="CR75" s="68"/>
      <c r="CS75" s="68"/>
      <c r="CT75" s="68"/>
      <c r="CU75" s="68"/>
      <c r="CV75" s="68"/>
      <c r="CW75" s="68"/>
      <c r="CX75" s="68"/>
      <c r="CY75" s="68"/>
      <c r="CZ75" s="68"/>
      <c r="DA75" s="68"/>
      <c r="DB75" s="119"/>
      <c r="DC75" s="119"/>
      <c r="DD75" s="119"/>
      <c r="DE75" s="119"/>
      <c r="DF75" s="119"/>
      <c r="DG75" s="119"/>
      <c r="DH75" s="116"/>
      <c r="DI75" s="116"/>
      <c r="DJ75" s="116"/>
      <c r="DK75" s="116"/>
      <c r="DL75" s="117"/>
      <c r="DM75" s="117"/>
      <c r="DN75" s="117"/>
      <c r="DO75" s="117"/>
      <c r="DP75" s="116"/>
      <c r="DQ75" s="116"/>
      <c r="DR75" s="116"/>
      <c r="DS75" s="116"/>
    </row>
    <row r="76" spans="1:123" ht="6" customHeight="1" x14ac:dyDescent="0.35">
      <c r="A76" s="140"/>
      <c r="B76" s="141"/>
      <c r="C76" s="141"/>
      <c r="D76" s="142"/>
      <c r="E76" s="132"/>
      <c r="F76" s="133"/>
      <c r="G76" s="133"/>
      <c r="H76" s="133"/>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6"/>
      <c r="AN76" s="136"/>
      <c r="AO76" s="136"/>
      <c r="AP76" s="130"/>
      <c r="AQ76" s="130"/>
      <c r="AR76" s="130"/>
      <c r="AS76" s="131"/>
      <c r="AU76" s="110" t="s">
        <v>59</v>
      </c>
      <c r="AV76" s="111"/>
      <c r="AW76" s="111"/>
      <c r="AX76" s="111"/>
      <c r="AY76" s="111"/>
      <c r="AZ76" s="111"/>
      <c r="BA76" s="111"/>
      <c r="BB76" s="111"/>
      <c r="BC76" s="111"/>
      <c r="BD76" s="111"/>
      <c r="BE76" s="111"/>
      <c r="BF76" s="111"/>
      <c r="BG76" s="111"/>
      <c r="BH76" s="111"/>
      <c r="BI76" s="111"/>
      <c r="BJ76" s="111"/>
      <c r="BK76" s="111"/>
      <c r="BL76" s="111"/>
      <c r="BM76" s="111"/>
      <c r="BN76" s="111"/>
      <c r="BO76" s="112"/>
      <c r="BP76" s="68">
        <v>3</v>
      </c>
      <c r="BQ76" s="68"/>
      <c r="BR76" s="68"/>
      <c r="BS76" s="68"/>
      <c r="BT76" s="68"/>
      <c r="BU76" s="68">
        <v>3</v>
      </c>
      <c r="BV76" s="68"/>
      <c r="BW76" s="68"/>
      <c r="BX76" s="68"/>
      <c r="BY76" s="68"/>
      <c r="BZ76" s="93">
        <v>-1</v>
      </c>
      <c r="CA76" s="93"/>
      <c r="CB76" s="93"/>
      <c r="CC76" s="93"/>
      <c r="CD76" s="94"/>
      <c r="CE76" s="50"/>
      <c r="CF76" s="156"/>
      <c r="CG76" s="156"/>
      <c r="CH76" s="156"/>
      <c r="CI76" s="156"/>
      <c r="CJ76" s="68"/>
      <c r="CK76" s="68"/>
      <c r="CL76" s="68"/>
      <c r="CM76" s="68"/>
      <c r="CN76" s="68"/>
      <c r="CO76" s="68"/>
      <c r="CP76" s="68"/>
      <c r="CQ76" s="68"/>
      <c r="CR76" s="68"/>
      <c r="CS76" s="68"/>
      <c r="CT76" s="68"/>
      <c r="CU76" s="68"/>
      <c r="CV76" s="68"/>
      <c r="CW76" s="68"/>
      <c r="CX76" s="68"/>
      <c r="CY76" s="68"/>
      <c r="CZ76" s="68"/>
      <c r="DA76" s="68"/>
      <c r="DB76" s="119"/>
      <c r="DC76" s="119"/>
      <c r="DD76" s="119"/>
      <c r="DE76" s="119"/>
      <c r="DF76" s="119"/>
      <c r="DG76" s="119"/>
      <c r="DH76" s="116"/>
      <c r="DI76" s="116"/>
      <c r="DJ76" s="116"/>
      <c r="DK76" s="116"/>
      <c r="DL76" s="44"/>
      <c r="DM76" s="44"/>
      <c r="DN76" s="118" t="s">
        <v>29</v>
      </c>
      <c r="DO76" s="118"/>
      <c r="DP76" s="119"/>
      <c r="DQ76" s="119"/>
      <c r="DR76" s="119"/>
      <c r="DS76" s="119"/>
    </row>
    <row r="77" spans="1:123" ht="6" customHeight="1" x14ac:dyDescent="0.35">
      <c r="A77" s="156" t="s">
        <v>18</v>
      </c>
      <c r="B77" s="156"/>
      <c r="C77" s="156"/>
      <c r="D77" s="156"/>
      <c r="E77" s="134" t="s">
        <v>229</v>
      </c>
      <c r="F77" s="134"/>
      <c r="G77" s="134"/>
      <c r="H77" s="134"/>
      <c r="I77" s="134"/>
      <c r="J77" s="134"/>
      <c r="K77" s="134"/>
      <c r="L77" s="134"/>
      <c r="M77" s="134"/>
      <c r="N77" s="134"/>
      <c r="O77" s="134"/>
      <c r="P77" s="134"/>
      <c r="Q77" s="134"/>
      <c r="R77" s="134"/>
      <c r="S77" s="134"/>
      <c r="T77" s="134"/>
      <c r="U77" s="134"/>
      <c r="V77" s="134"/>
      <c r="W77" s="134"/>
      <c r="X77" s="134"/>
      <c r="Y77" s="134"/>
      <c r="Z77" s="134"/>
      <c r="AA77" s="134"/>
      <c r="AB77" s="119" t="str">
        <f>_xlfn.XLOOKUP(E79,BroadSkills,BroadSkillAspects,"",0,1)</f>
        <v>Mind</v>
      </c>
      <c r="AC77" s="119"/>
      <c r="AD77" s="119"/>
      <c r="AE77" s="119"/>
      <c r="AF77" s="119"/>
      <c r="AG77" s="119"/>
      <c r="AH77" s="70">
        <v>3</v>
      </c>
      <c r="AI77" s="70"/>
      <c r="AJ77" s="70"/>
      <c r="AK77" s="164"/>
      <c r="AL77" s="143">
        <f>IF(_ACTR_8&gt;0,_ACTR_8,"")</f>
        <v>1</v>
      </c>
      <c r="AM77" s="144"/>
      <c r="AN77" s="144"/>
      <c r="AO77" s="145"/>
      <c r="AP77" s="151">
        <v>9</v>
      </c>
      <c r="AQ77" s="70"/>
      <c r="AR77" s="70"/>
      <c r="AS77" s="71"/>
      <c r="AU77" s="113"/>
      <c r="AV77" s="114"/>
      <c r="AW77" s="114"/>
      <c r="AX77" s="114"/>
      <c r="AY77" s="114"/>
      <c r="AZ77" s="114"/>
      <c r="BA77" s="114"/>
      <c r="BB77" s="114"/>
      <c r="BC77" s="114"/>
      <c r="BD77" s="114"/>
      <c r="BE77" s="114"/>
      <c r="BF77" s="114"/>
      <c r="BG77" s="114"/>
      <c r="BH77" s="114"/>
      <c r="BI77" s="114"/>
      <c r="BJ77" s="114"/>
      <c r="BK77" s="114"/>
      <c r="BL77" s="114"/>
      <c r="BM77" s="114"/>
      <c r="BN77" s="114"/>
      <c r="BO77" s="115"/>
      <c r="BP77" s="68"/>
      <c r="BQ77" s="68"/>
      <c r="BR77" s="68"/>
      <c r="BS77" s="68"/>
      <c r="BT77" s="68"/>
      <c r="BU77" s="68"/>
      <c r="BV77" s="68"/>
      <c r="BW77" s="68"/>
      <c r="BX77" s="68"/>
      <c r="BY77" s="68"/>
      <c r="BZ77" s="95"/>
      <c r="CA77" s="95"/>
      <c r="CB77" s="95"/>
      <c r="CC77" s="95"/>
      <c r="CD77" s="96"/>
      <c r="CE77" s="50"/>
      <c r="CF77" s="137" t="s">
        <v>54</v>
      </c>
      <c r="CG77" s="138"/>
      <c r="CH77" s="138"/>
      <c r="CI77" s="138"/>
      <c r="CJ77" s="121"/>
      <c r="CK77" s="121"/>
      <c r="CL77" s="121"/>
      <c r="CM77" s="121"/>
      <c r="CN77" s="121"/>
      <c r="CO77" s="121"/>
      <c r="CP77" s="121"/>
      <c r="CQ77" s="121"/>
      <c r="CR77" s="121"/>
      <c r="CS77" s="121"/>
      <c r="CT77" s="121"/>
      <c r="CU77" s="121"/>
      <c r="CV77" s="69"/>
      <c r="CW77" s="71"/>
      <c r="CX77" s="116">
        <v>0</v>
      </c>
      <c r="CY77" s="116"/>
      <c r="CZ77" s="116"/>
      <c r="DA77" s="116"/>
      <c r="DB77" s="116"/>
      <c r="DC77" s="116"/>
      <c r="DD77" s="116"/>
      <c r="DE77" s="116"/>
      <c r="DF77" s="116">
        <v>0</v>
      </c>
      <c r="DG77" s="116"/>
      <c r="DH77" s="116"/>
      <c r="DI77" s="116"/>
      <c r="DJ77" s="116"/>
      <c r="DK77" s="116"/>
      <c r="DL77" s="121"/>
      <c r="DM77" s="121"/>
      <c r="DN77" s="118"/>
      <c r="DO77" s="118"/>
      <c r="DP77" s="119"/>
      <c r="DQ77" s="119"/>
      <c r="DR77" s="119"/>
      <c r="DS77" s="119"/>
    </row>
    <row r="78" spans="1:123" ht="6" customHeight="1" x14ac:dyDescent="0.35">
      <c r="A78" s="156"/>
      <c r="B78" s="156"/>
      <c r="C78" s="156"/>
      <c r="D78" s="156"/>
      <c r="E78" s="134"/>
      <c r="F78" s="134"/>
      <c r="G78" s="134"/>
      <c r="H78" s="134"/>
      <c r="I78" s="134"/>
      <c r="J78" s="134"/>
      <c r="K78" s="134"/>
      <c r="L78" s="134"/>
      <c r="M78" s="134"/>
      <c r="N78" s="134"/>
      <c r="O78" s="134"/>
      <c r="P78" s="134"/>
      <c r="Q78" s="134"/>
      <c r="R78" s="134"/>
      <c r="S78" s="134"/>
      <c r="T78" s="134"/>
      <c r="U78" s="134"/>
      <c r="V78" s="134"/>
      <c r="W78" s="134"/>
      <c r="X78" s="134"/>
      <c r="Y78" s="134"/>
      <c r="Z78" s="134"/>
      <c r="AA78" s="134"/>
      <c r="AB78" s="119"/>
      <c r="AC78" s="119"/>
      <c r="AD78" s="119"/>
      <c r="AE78" s="119"/>
      <c r="AF78" s="119"/>
      <c r="AG78" s="119"/>
      <c r="AH78" s="73"/>
      <c r="AI78" s="73"/>
      <c r="AJ78" s="73"/>
      <c r="AK78" s="165"/>
      <c r="AL78" s="146"/>
      <c r="AM78" s="117"/>
      <c r="AN78" s="117"/>
      <c r="AO78" s="147"/>
      <c r="AP78" s="152"/>
      <c r="AQ78" s="73"/>
      <c r="AR78" s="73"/>
      <c r="AS78" s="74"/>
      <c r="AU78" s="110" t="s">
        <v>60</v>
      </c>
      <c r="AV78" s="111"/>
      <c r="AW78" s="111"/>
      <c r="AX78" s="111"/>
      <c r="AY78" s="111"/>
      <c r="AZ78" s="111"/>
      <c r="BA78" s="111"/>
      <c r="BB78" s="111"/>
      <c r="BC78" s="111"/>
      <c r="BD78" s="111"/>
      <c r="BE78" s="111"/>
      <c r="BF78" s="111"/>
      <c r="BG78" s="111"/>
      <c r="BH78" s="111"/>
      <c r="BI78" s="111"/>
      <c r="BJ78" s="111"/>
      <c r="BK78" s="111"/>
      <c r="BL78" s="111"/>
      <c r="BM78" s="111"/>
      <c r="BN78" s="111"/>
      <c r="BO78" s="112"/>
      <c r="BP78" s="68"/>
      <c r="BQ78" s="68"/>
      <c r="BR78" s="68"/>
      <c r="BS78" s="68"/>
      <c r="BT78" s="68"/>
      <c r="BU78" s="68"/>
      <c r="BV78" s="68"/>
      <c r="BW78" s="68"/>
      <c r="BX78" s="68"/>
      <c r="BY78" s="68"/>
      <c r="BZ78" s="97">
        <v>2</v>
      </c>
      <c r="CA78" s="93"/>
      <c r="CB78" s="93"/>
      <c r="CC78" s="93"/>
      <c r="CD78" s="94"/>
      <c r="CE78" s="50"/>
      <c r="CF78" s="137"/>
      <c r="CG78" s="138"/>
      <c r="CH78" s="138"/>
      <c r="CI78" s="138"/>
      <c r="CJ78" s="121"/>
      <c r="CK78" s="121"/>
      <c r="CL78" s="121"/>
      <c r="CM78" s="121"/>
      <c r="CN78" s="121"/>
      <c r="CO78" s="121"/>
      <c r="CP78" s="121"/>
      <c r="CQ78" s="121"/>
      <c r="CR78" s="121"/>
      <c r="CS78" s="121"/>
      <c r="CT78" s="121"/>
      <c r="CU78" s="121"/>
      <c r="CV78" s="75"/>
      <c r="CW78" s="77"/>
      <c r="CX78" s="116"/>
      <c r="CY78" s="116"/>
      <c r="CZ78" s="116"/>
      <c r="DA78" s="116"/>
      <c r="DB78" s="116"/>
      <c r="DC78" s="116"/>
      <c r="DD78" s="116"/>
      <c r="DE78" s="116"/>
      <c r="DF78" s="116"/>
      <c r="DG78" s="116"/>
      <c r="DH78" s="116"/>
      <c r="DI78" s="116"/>
      <c r="DJ78" s="116"/>
      <c r="DK78" s="116"/>
      <c r="DL78" s="122"/>
      <c r="DM78" s="122"/>
      <c r="DN78" s="118"/>
      <c r="DO78" s="118"/>
      <c r="DP78" s="120"/>
      <c r="DQ78" s="120"/>
      <c r="DR78" s="120"/>
      <c r="DS78" s="120"/>
    </row>
    <row r="79" spans="1:123" ht="6" customHeight="1" x14ac:dyDescent="0.35">
      <c r="A79" s="156" t="s">
        <v>19</v>
      </c>
      <c r="B79" s="156"/>
      <c r="C79" s="156"/>
      <c r="D79" s="156"/>
      <c r="E79" s="134" t="s">
        <v>48</v>
      </c>
      <c r="F79" s="134"/>
      <c r="G79" s="134"/>
      <c r="H79" s="134"/>
      <c r="I79" s="134"/>
      <c r="J79" s="134"/>
      <c r="K79" s="134"/>
      <c r="L79" s="134"/>
      <c r="M79" s="134"/>
      <c r="N79" s="134"/>
      <c r="O79" s="134"/>
      <c r="P79" s="134"/>
      <c r="Q79" s="134"/>
      <c r="R79" s="134"/>
      <c r="S79" s="134"/>
      <c r="T79" s="134"/>
      <c r="U79" s="134"/>
      <c r="V79" s="134"/>
      <c r="W79" s="134"/>
      <c r="X79" s="134"/>
      <c r="Y79" s="134"/>
      <c r="Z79" s="134"/>
      <c r="AA79" s="134"/>
      <c r="AB79" s="119"/>
      <c r="AC79" s="119"/>
      <c r="AD79" s="119"/>
      <c r="AE79" s="119"/>
      <c r="AF79" s="119"/>
      <c r="AG79" s="119"/>
      <c r="AH79" s="154"/>
      <c r="AI79" s="154"/>
      <c r="AJ79" s="154"/>
      <c r="AK79" s="166"/>
      <c r="AL79" s="148"/>
      <c r="AM79" s="149"/>
      <c r="AN79" s="149"/>
      <c r="AO79" s="150"/>
      <c r="AP79" s="153"/>
      <c r="AQ79" s="154"/>
      <c r="AR79" s="154"/>
      <c r="AS79" s="155"/>
      <c r="AU79" s="113"/>
      <c r="AV79" s="114"/>
      <c r="AW79" s="114"/>
      <c r="AX79" s="114"/>
      <c r="AY79" s="114"/>
      <c r="AZ79" s="114"/>
      <c r="BA79" s="114"/>
      <c r="BB79" s="114"/>
      <c r="BC79" s="114"/>
      <c r="BD79" s="114"/>
      <c r="BE79" s="114"/>
      <c r="BF79" s="114"/>
      <c r="BG79" s="114"/>
      <c r="BH79" s="114"/>
      <c r="BI79" s="114"/>
      <c r="BJ79" s="114"/>
      <c r="BK79" s="114"/>
      <c r="BL79" s="114"/>
      <c r="BM79" s="114"/>
      <c r="BN79" s="114"/>
      <c r="BO79" s="115"/>
      <c r="BP79" s="68"/>
      <c r="BQ79" s="68"/>
      <c r="BR79" s="68"/>
      <c r="BS79" s="68"/>
      <c r="BT79" s="68"/>
      <c r="BU79" s="68"/>
      <c r="BV79" s="68"/>
      <c r="BW79" s="68"/>
      <c r="BX79" s="68"/>
      <c r="BY79" s="68"/>
      <c r="BZ79" s="98"/>
      <c r="CA79" s="95"/>
      <c r="CB79" s="95"/>
      <c r="CC79" s="95"/>
      <c r="CD79" s="96"/>
      <c r="CE79" s="50"/>
      <c r="CF79" s="137"/>
      <c r="CG79" s="138"/>
      <c r="CH79" s="138"/>
      <c r="CI79" s="138"/>
      <c r="CJ79" s="68"/>
      <c r="CK79" s="68"/>
      <c r="CL79" s="68"/>
      <c r="CM79" s="68"/>
      <c r="CN79" s="68"/>
      <c r="CO79" s="68"/>
      <c r="CP79" s="68"/>
      <c r="CQ79" s="68"/>
      <c r="CR79" s="68"/>
      <c r="CS79" s="68"/>
      <c r="CT79" s="68"/>
      <c r="CU79" s="68"/>
      <c r="CV79" s="68"/>
      <c r="CW79" s="68"/>
      <c r="CX79" s="68"/>
      <c r="CY79" s="68"/>
      <c r="CZ79" s="68"/>
      <c r="DA79" s="68"/>
      <c r="DB79" s="68"/>
      <c r="DC79" s="68"/>
      <c r="DD79" s="68"/>
      <c r="DE79" s="68"/>
      <c r="DF79" s="68"/>
      <c r="DG79" s="68"/>
      <c r="DH79" s="68"/>
      <c r="DI79" s="68"/>
      <c r="DJ79" s="68"/>
      <c r="DK79" s="68"/>
      <c r="DL79" s="68"/>
      <c r="DM79" s="68"/>
      <c r="DN79" s="68"/>
      <c r="DO79" s="68"/>
      <c r="DP79" s="68"/>
      <c r="DQ79" s="68"/>
      <c r="DR79" s="68"/>
      <c r="DS79" s="68"/>
    </row>
    <row r="80" spans="1:123" ht="6" customHeight="1" x14ac:dyDescent="0.35">
      <c r="A80" s="156"/>
      <c r="B80" s="156"/>
      <c r="C80" s="156"/>
      <c r="D80" s="156"/>
      <c r="E80" s="134"/>
      <c r="F80" s="134"/>
      <c r="G80" s="134"/>
      <c r="H80" s="134"/>
      <c r="I80" s="134"/>
      <c r="J80" s="134"/>
      <c r="K80" s="134"/>
      <c r="L80" s="134"/>
      <c r="M80" s="134"/>
      <c r="N80" s="134"/>
      <c r="O80" s="134"/>
      <c r="P80" s="134"/>
      <c r="Q80" s="134"/>
      <c r="R80" s="134"/>
      <c r="S80" s="134"/>
      <c r="T80" s="134"/>
      <c r="U80" s="134"/>
      <c r="V80" s="134"/>
      <c r="W80" s="134"/>
      <c r="X80" s="134"/>
      <c r="Y80" s="134"/>
      <c r="Z80" s="134"/>
      <c r="AA80" s="134"/>
      <c r="AB80" s="119"/>
      <c r="AC80" s="119"/>
      <c r="AD80" s="119"/>
      <c r="AE80" s="119"/>
      <c r="AF80" s="119"/>
      <c r="AG80" s="119"/>
      <c r="AH80" s="135" t="s">
        <v>29</v>
      </c>
      <c r="AI80" s="157"/>
      <c r="AJ80" s="161"/>
      <c r="AK80" s="127"/>
      <c r="AL80" s="127"/>
      <c r="AM80" s="162"/>
      <c r="AN80" s="135" t="s">
        <v>21</v>
      </c>
      <c r="AO80" s="157"/>
      <c r="AP80" s="161">
        <f>P81</f>
        <v>0</v>
      </c>
      <c r="AQ80" s="127"/>
      <c r="AR80" s="127"/>
      <c r="AS80" s="128"/>
      <c r="AU80" s="110" t="s">
        <v>227</v>
      </c>
      <c r="AV80" s="111"/>
      <c r="AW80" s="111"/>
      <c r="AX80" s="111"/>
      <c r="AY80" s="111"/>
      <c r="AZ80" s="111"/>
      <c r="BA80" s="111"/>
      <c r="BB80" s="111"/>
      <c r="BC80" s="111"/>
      <c r="BD80" s="111"/>
      <c r="BE80" s="111"/>
      <c r="BF80" s="111"/>
      <c r="BG80" s="111"/>
      <c r="BH80" s="111"/>
      <c r="BI80" s="111"/>
      <c r="BJ80" s="111"/>
      <c r="BK80" s="111"/>
      <c r="BL80" s="111"/>
      <c r="BM80" s="111"/>
      <c r="BN80" s="111"/>
      <c r="BO80" s="112"/>
      <c r="BP80" s="68">
        <v>4</v>
      </c>
      <c r="BQ80" s="68"/>
      <c r="BR80" s="68"/>
      <c r="BS80" s="68"/>
      <c r="BT80" s="68"/>
      <c r="BU80" s="68">
        <v>3</v>
      </c>
      <c r="BV80" s="68"/>
      <c r="BW80" s="68"/>
      <c r="BX80" s="68"/>
      <c r="BY80" s="68"/>
      <c r="BZ80" s="97"/>
      <c r="CA80" s="93"/>
      <c r="CB80" s="93"/>
      <c r="CC80" s="93"/>
      <c r="CD80" s="94"/>
      <c r="CE80" s="50"/>
      <c r="CF80" s="137"/>
      <c r="CG80" s="138"/>
      <c r="CH80" s="138"/>
      <c r="CI80" s="138"/>
      <c r="CJ80" s="68"/>
      <c r="CK80" s="68"/>
      <c r="CL80" s="68"/>
      <c r="CM80" s="68"/>
      <c r="CN80" s="68"/>
      <c r="CO80" s="68"/>
      <c r="CP80" s="68"/>
      <c r="CQ80" s="68"/>
      <c r="CR80" s="68"/>
      <c r="CS80" s="68"/>
      <c r="CT80" s="68"/>
      <c r="CU80" s="68"/>
      <c r="CV80" s="68"/>
      <c r="CW80" s="68"/>
      <c r="CX80" s="68"/>
      <c r="CY80" s="68"/>
      <c r="CZ80" s="68"/>
      <c r="DA80" s="68"/>
      <c r="DB80" s="68"/>
      <c r="DC80" s="68"/>
      <c r="DD80" s="68"/>
      <c r="DE80" s="68"/>
      <c r="DF80" s="68"/>
      <c r="DG80" s="68"/>
      <c r="DH80" s="68"/>
      <c r="DI80" s="68"/>
      <c r="DJ80" s="68"/>
      <c r="DK80" s="68"/>
      <c r="DL80" s="68"/>
      <c r="DM80" s="68"/>
      <c r="DN80" s="68"/>
      <c r="DO80" s="68"/>
      <c r="DP80" s="68"/>
      <c r="DQ80" s="68"/>
      <c r="DR80" s="68"/>
      <c r="DS80" s="68"/>
    </row>
    <row r="81" spans="1:141" ht="6" customHeight="1" x14ac:dyDescent="0.35">
      <c r="A81" s="137" t="s">
        <v>54</v>
      </c>
      <c r="B81" s="138"/>
      <c r="C81" s="138"/>
      <c r="D81" s="139"/>
      <c r="E81" s="69"/>
      <c r="F81" s="70"/>
      <c r="G81" s="70"/>
      <c r="H81" s="70"/>
      <c r="I81" s="70"/>
      <c r="J81" s="70"/>
      <c r="K81" s="70"/>
      <c r="L81" s="70"/>
      <c r="M81" s="70"/>
      <c r="N81" s="70"/>
      <c r="O81" s="71"/>
      <c r="P81" s="69"/>
      <c r="Q81" s="71"/>
      <c r="R81" s="116"/>
      <c r="S81" s="116"/>
      <c r="T81" s="116"/>
      <c r="U81" s="116"/>
      <c r="V81" s="116"/>
      <c r="W81" s="116"/>
      <c r="X81" s="116"/>
      <c r="Y81" s="116"/>
      <c r="Z81" s="116"/>
      <c r="AA81" s="116"/>
      <c r="AB81" s="116"/>
      <c r="AC81" s="116"/>
      <c r="AD81" s="116"/>
      <c r="AE81" s="116"/>
      <c r="AF81" s="119">
        <f>_AE_CCost_8</f>
        <v>0</v>
      </c>
      <c r="AG81" s="119"/>
      <c r="AH81" s="118"/>
      <c r="AI81" s="158"/>
      <c r="AJ81" s="146"/>
      <c r="AK81" s="117"/>
      <c r="AL81" s="117"/>
      <c r="AM81" s="147"/>
      <c r="AN81" s="118"/>
      <c r="AO81" s="158"/>
      <c r="AP81" s="146"/>
      <c r="AQ81" s="117"/>
      <c r="AR81" s="117"/>
      <c r="AS81" s="129"/>
      <c r="AU81" s="113"/>
      <c r="AV81" s="114"/>
      <c r="AW81" s="114"/>
      <c r="AX81" s="114"/>
      <c r="AY81" s="114"/>
      <c r="AZ81" s="114"/>
      <c r="BA81" s="114"/>
      <c r="BB81" s="114"/>
      <c r="BC81" s="114"/>
      <c r="BD81" s="114"/>
      <c r="BE81" s="114"/>
      <c r="BF81" s="114"/>
      <c r="BG81" s="114"/>
      <c r="BH81" s="114"/>
      <c r="BI81" s="114"/>
      <c r="BJ81" s="114"/>
      <c r="BK81" s="114"/>
      <c r="BL81" s="114"/>
      <c r="BM81" s="114"/>
      <c r="BN81" s="114"/>
      <c r="BO81" s="115"/>
      <c r="BP81" s="68"/>
      <c r="BQ81" s="68"/>
      <c r="BR81" s="68"/>
      <c r="BS81" s="68"/>
      <c r="BT81" s="68"/>
      <c r="BU81" s="68"/>
      <c r="BV81" s="68"/>
      <c r="BW81" s="68"/>
      <c r="BX81" s="68"/>
      <c r="BY81" s="68"/>
      <c r="BZ81" s="98"/>
      <c r="CA81" s="95"/>
      <c r="CB81" s="95"/>
      <c r="CC81" s="95"/>
      <c r="CD81" s="96"/>
      <c r="CE81" s="50"/>
      <c r="CF81" s="137"/>
      <c r="CG81" s="138"/>
      <c r="CH81" s="138"/>
      <c r="CI81" s="138"/>
      <c r="CJ81" s="68"/>
      <c r="CK81" s="68"/>
      <c r="CL81" s="68"/>
      <c r="CM81" s="68"/>
      <c r="CN81" s="68"/>
      <c r="CO81" s="68"/>
      <c r="CP81" s="68"/>
      <c r="CQ81" s="68"/>
      <c r="CR81" s="68"/>
      <c r="CS81" s="68"/>
      <c r="CT81" s="68"/>
      <c r="CU81" s="68"/>
      <c r="CV81" s="68"/>
      <c r="CW81" s="68"/>
      <c r="CX81" s="68"/>
      <c r="CY81" s="68"/>
      <c r="CZ81" s="68"/>
      <c r="DA81" s="68"/>
      <c r="DB81" s="68"/>
      <c r="DC81" s="68"/>
      <c r="DD81" s="68"/>
      <c r="DE81" s="68"/>
      <c r="DF81" s="68"/>
      <c r="DG81" s="68"/>
      <c r="DH81" s="68"/>
      <c r="DI81" s="68"/>
      <c r="DJ81" s="68"/>
      <c r="DK81" s="68"/>
      <c r="DL81" s="68"/>
      <c r="DM81" s="68"/>
      <c r="DN81" s="68"/>
      <c r="DO81" s="68"/>
      <c r="DP81" s="68"/>
      <c r="DQ81" s="68"/>
      <c r="DR81" s="68"/>
      <c r="DS81" s="68"/>
    </row>
    <row r="82" spans="1:141" ht="6" customHeight="1" x14ac:dyDescent="0.35">
      <c r="A82" s="137"/>
      <c r="B82" s="138"/>
      <c r="C82" s="138"/>
      <c r="D82" s="139"/>
      <c r="E82" s="75"/>
      <c r="F82" s="76"/>
      <c r="G82" s="76"/>
      <c r="H82" s="76"/>
      <c r="I82" s="76"/>
      <c r="J82" s="76"/>
      <c r="K82" s="76"/>
      <c r="L82" s="76"/>
      <c r="M82" s="76"/>
      <c r="N82" s="76"/>
      <c r="O82" s="77"/>
      <c r="P82" s="75"/>
      <c r="Q82" s="77"/>
      <c r="R82" s="116"/>
      <c r="S82" s="116"/>
      <c r="T82" s="116"/>
      <c r="U82" s="116"/>
      <c r="V82" s="116"/>
      <c r="W82" s="116"/>
      <c r="X82" s="116"/>
      <c r="Y82" s="116"/>
      <c r="Z82" s="116"/>
      <c r="AA82" s="116"/>
      <c r="AB82" s="116"/>
      <c r="AC82" s="116"/>
      <c r="AD82" s="116"/>
      <c r="AE82" s="116"/>
      <c r="AF82" s="119"/>
      <c r="AG82" s="119"/>
      <c r="AH82" s="159"/>
      <c r="AI82" s="160"/>
      <c r="AJ82" s="148"/>
      <c r="AK82" s="149"/>
      <c r="AL82" s="149"/>
      <c r="AM82" s="150"/>
      <c r="AN82" s="159"/>
      <c r="AO82" s="160"/>
      <c r="AP82" s="148"/>
      <c r="AQ82" s="149"/>
      <c r="AR82" s="149"/>
      <c r="AS82" s="163"/>
      <c r="AU82" s="110" t="s">
        <v>62</v>
      </c>
      <c r="AV82" s="111"/>
      <c r="AW82" s="111"/>
      <c r="AX82" s="111"/>
      <c r="AY82" s="111"/>
      <c r="AZ82" s="111"/>
      <c r="BA82" s="111"/>
      <c r="BB82" s="111"/>
      <c r="BC82" s="111"/>
      <c r="BD82" s="111"/>
      <c r="BE82" s="111"/>
      <c r="BF82" s="111"/>
      <c r="BG82" s="111"/>
      <c r="BH82" s="111"/>
      <c r="BI82" s="111"/>
      <c r="BJ82" s="111"/>
      <c r="BK82" s="111"/>
      <c r="BL82" s="111"/>
      <c r="BM82" s="111"/>
      <c r="BN82" s="111"/>
      <c r="BO82" s="112"/>
      <c r="BP82" s="68">
        <v>2</v>
      </c>
      <c r="BQ82" s="68"/>
      <c r="BR82" s="68"/>
      <c r="BS82" s="68"/>
      <c r="BT82" s="68"/>
      <c r="BU82" s="68"/>
      <c r="BV82" s="68"/>
      <c r="BW82" s="68"/>
      <c r="BX82" s="68"/>
      <c r="BY82" s="68"/>
      <c r="BZ82" s="97">
        <v>1</v>
      </c>
      <c r="CA82" s="93"/>
      <c r="CB82" s="93"/>
      <c r="CC82" s="93"/>
      <c r="CD82" s="94"/>
      <c r="CE82" s="50"/>
      <c r="CF82" s="140"/>
      <c r="CG82" s="141"/>
      <c r="CH82" s="141"/>
      <c r="CI82" s="141"/>
      <c r="CJ82" s="68"/>
      <c r="CK82" s="68"/>
      <c r="CL82" s="68"/>
      <c r="CM82" s="68"/>
      <c r="CN82" s="68"/>
      <c r="CO82" s="68"/>
      <c r="CP82" s="68"/>
      <c r="CQ82" s="68"/>
      <c r="CR82" s="68"/>
      <c r="CS82" s="68"/>
      <c r="CT82" s="68"/>
      <c r="CU82" s="68"/>
      <c r="CV82" s="68"/>
      <c r="CW82" s="68"/>
      <c r="CX82" s="68"/>
      <c r="CY82" s="68"/>
      <c r="CZ82" s="68"/>
      <c r="DA82" s="68"/>
      <c r="DB82" s="68"/>
      <c r="DC82" s="68"/>
      <c r="DD82" s="68"/>
      <c r="DE82" s="68"/>
      <c r="DF82" s="68"/>
      <c r="DG82" s="68"/>
      <c r="DH82" s="68"/>
      <c r="DI82" s="68"/>
      <c r="DJ82" s="68"/>
      <c r="DK82" s="68"/>
      <c r="DL82" s="68"/>
      <c r="DM82" s="68"/>
      <c r="DN82" s="68"/>
      <c r="DO82" s="68"/>
      <c r="DP82" s="68"/>
      <c r="DQ82" s="68"/>
      <c r="DR82" s="68"/>
      <c r="DS82" s="68"/>
    </row>
    <row r="83" spans="1:141" ht="6" customHeight="1" x14ac:dyDescent="0.35">
      <c r="A83" s="137"/>
      <c r="B83" s="138"/>
      <c r="C83" s="138"/>
      <c r="D83" s="139"/>
      <c r="E83" s="123"/>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c r="AD83" s="124"/>
      <c r="AE83" s="124"/>
      <c r="AF83" s="124"/>
      <c r="AG83" s="124"/>
      <c r="AH83" s="124"/>
      <c r="AI83" s="124"/>
      <c r="AJ83" s="124"/>
      <c r="AK83" s="124"/>
      <c r="AL83" s="124"/>
      <c r="AM83" s="135" t="s">
        <v>22</v>
      </c>
      <c r="AN83" s="135"/>
      <c r="AO83" s="135"/>
      <c r="AP83" s="127">
        <f>IFERROR(ATR_8-MAX(A_Bulk_8,AR_Bulk),"")</f>
        <v>1</v>
      </c>
      <c r="AQ83" s="127"/>
      <c r="AR83" s="127"/>
      <c r="AS83" s="128"/>
      <c r="AU83" s="113"/>
      <c r="AV83" s="114"/>
      <c r="AW83" s="114"/>
      <c r="AX83" s="114"/>
      <c r="AY83" s="114"/>
      <c r="AZ83" s="114"/>
      <c r="BA83" s="114"/>
      <c r="BB83" s="114"/>
      <c r="BC83" s="114"/>
      <c r="BD83" s="114"/>
      <c r="BE83" s="114"/>
      <c r="BF83" s="114"/>
      <c r="BG83" s="114"/>
      <c r="BH83" s="114"/>
      <c r="BI83" s="114"/>
      <c r="BJ83" s="114"/>
      <c r="BK83" s="114"/>
      <c r="BL83" s="114"/>
      <c r="BM83" s="114"/>
      <c r="BN83" s="114"/>
      <c r="BO83" s="115"/>
      <c r="BP83" s="68"/>
      <c r="BQ83" s="68"/>
      <c r="BR83" s="68"/>
      <c r="BS83" s="68"/>
      <c r="BT83" s="68"/>
      <c r="BU83" s="68"/>
      <c r="BV83" s="68"/>
      <c r="BW83" s="68"/>
      <c r="BX83" s="68"/>
      <c r="BY83" s="68"/>
      <c r="BZ83" s="98"/>
      <c r="CA83" s="95"/>
      <c r="CB83" s="95"/>
      <c r="CC83" s="95"/>
      <c r="CD83" s="96"/>
      <c r="CE83" s="50"/>
      <c r="CF83" s="156" t="s">
        <v>18</v>
      </c>
      <c r="CG83" s="156"/>
      <c r="CH83" s="156"/>
      <c r="CI83" s="156"/>
      <c r="CJ83" s="68"/>
      <c r="CK83" s="68"/>
      <c r="CL83" s="68"/>
      <c r="CM83" s="68"/>
      <c r="CN83" s="68"/>
      <c r="CO83" s="68"/>
      <c r="CP83" s="68"/>
      <c r="CQ83" s="68"/>
      <c r="CR83" s="68"/>
      <c r="CS83" s="68"/>
      <c r="CT83" s="68"/>
      <c r="CU83" s="68"/>
      <c r="CV83" s="68"/>
      <c r="CW83" s="68"/>
      <c r="CX83" s="68"/>
      <c r="CY83" s="68"/>
      <c r="CZ83" s="68"/>
      <c r="DA83" s="68"/>
      <c r="DB83" s="119" t="s">
        <v>5</v>
      </c>
      <c r="DC83" s="119"/>
      <c r="DD83" s="119"/>
      <c r="DE83" s="119"/>
      <c r="DF83" s="119"/>
      <c r="DG83" s="119"/>
      <c r="DH83" s="116">
        <v>6</v>
      </c>
      <c r="DI83" s="116"/>
      <c r="DJ83" s="116"/>
      <c r="DK83" s="116"/>
      <c r="DL83" s="84">
        <f>IF(_Lang_CTR&gt;0,_Lang_CTR,"")</f>
        <v>2</v>
      </c>
      <c r="DM83" s="84"/>
      <c r="DN83" s="84"/>
      <c r="DO83" s="84"/>
      <c r="DP83" s="69">
        <v>9</v>
      </c>
      <c r="DQ83" s="70"/>
      <c r="DR83" s="70"/>
      <c r="DS83" s="71"/>
    </row>
    <row r="84" spans="1:141" ht="6" customHeight="1" x14ac:dyDescent="0.35">
      <c r="A84" s="137"/>
      <c r="B84" s="138"/>
      <c r="C84" s="138"/>
      <c r="D84" s="139"/>
      <c r="E84" s="125"/>
      <c r="F84" s="126"/>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c r="AD84" s="126"/>
      <c r="AE84" s="126"/>
      <c r="AF84" s="126"/>
      <c r="AG84" s="126"/>
      <c r="AH84" s="126"/>
      <c r="AI84" s="126"/>
      <c r="AJ84" s="126"/>
      <c r="AK84" s="126"/>
      <c r="AL84" s="126"/>
      <c r="AM84" s="118"/>
      <c r="AN84" s="118"/>
      <c r="AO84" s="118"/>
      <c r="AP84" s="117"/>
      <c r="AQ84" s="117"/>
      <c r="AR84" s="117"/>
      <c r="AS84" s="129"/>
      <c r="AU84" s="110" t="s">
        <v>63</v>
      </c>
      <c r="AV84" s="111"/>
      <c r="AW84" s="111"/>
      <c r="AX84" s="111"/>
      <c r="AY84" s="111"/>
      <c r="AZ84" s="111"/>
      <c r="BA84" s="111"/>
      <c r="BB84" s="111"/>
      <c r="BC84" s="111"/>
      <c r="BD84" s="111"/>
      <c r="BE84" s="111"/>
      <c r="BF84" s="111"/>
      <c r="BG84" s="111"/>
      <c r="BH84" s="111"/>
      <c r="BI84" s="111"/>
      <c r="BJ84" s="111"/>
      <c r="BK84" s="111"/>
      <c r="BL84" s="111"/>
      <c r="BM84" s="111"/>
      <c r="BN84" s="111"/>
      <c r="BO84" s="112"/>
      <c r="BP84" s="68">
        <v>4</v>
      </c>
      <c r="BQ84" s="68"/>
      <c r="BR84" s="68"/>
      <c r="BS84" s="68"/>
      <c r="BT84" s="68"/>
      <c r="BU84" s="68">
        <v>3</v>
      </c>
      <c r="BV84" s="68"/>
      <c r="BW84" s="68"/>
      <c r="BX84" s="68"/>
      <c r="BY84" s="68"/>
      <c r="BZ84" s="97">
        <v>-4</v>
      </c>
      <c r="CA84" s="93"/>
      <c r="CB84" s="93"/>
      <c r="CC84" s="93"/>
      <c r="CD84" s="94"/>
      <c r="CE84" s="50"/>
      <c r="CF84" s="156"/>
      <c r="CG84" s="156"/>
      <c r="CH84" s="156"/>
      <c r="CI84" s="156"/>
      <c r="CJ84" s="68"/>
      <c r="CK84" s="68"/>
      <c r="CL84" s="68"/>
      <c r="CM84" s="68"/>
      <c r="CN84" s="68"/>
      <c r="CO84" s="68"/>
      <c r="CP84" s="68"/>
      <c r="CQ84" s="68"/>
      <c r="CR84" s="68"/>
      <c r="CS84" s="68"/>
      <c r="CT84" s="68"/>
      <c r="CU84" s="68"/>
      <c r="CV84" s="68"/>
      <c r="CW84" s="68"/>
      <c r="CX84" s="68"/>
      <c r="CY84" s="68"/>
      <c r="CZ84" s="68"/>
      <c r="DA84" s="68"/>
      <c r="DB84" s="119"/>
      <c r="DC84" s="119"/>
      <c r="DD84" s="119"/>
      <c r="DE84" s="119"/>
      <c r="DF84" s="119"/>
      <c r="DG84" s="119"/>
      <c r="DH84" s="116"/>
      <c r="DI84" s="116"/>
      <c r="DJ84" s="116"/>
      <c r="DK84" s="116"/>
      <c r="DL84" s="84"/>
      <c r="DM84" s="84"/>
      <c r="DN84" s="84"/>
      <c r="DO84" s="84"/>
      <c r="DP84" s="72"/>
      <c r="DQ84" s="73"/>
      <c r="DR84" s="73"/>
      <c r="DS84" s="74"/>
    </row>
    <row r="85" spans="1:141" ht="6" customHeight="1" x14ac:dyDescent="0.35">
      <c r="A85" s="137"/>
      <c r="B85" s="138"/>
      <c r="C85" s="138"/>
      <c r="D85" s="139"/>
      <c r="E85" s="123"/>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4"/>
      <c r="AH85" s="124"/>
      <c r="AI85" s="124"/>
      <c r="AJ85" s="124"/>
      <c r="AK85" s="124"/>
      <c r="AL85" s="124"/>
      <c r="AM85" s="118"/>
      <c r="AN85" s="118"/>
      <c r="AO85" s="118"/>
      <c r="AP85" s="117"/>
      <c r="AQ85" s="117"/>
      <c r="AR85" s="117"/>
      <c r="AS85" s="129"/>
      <c r="AU85" s="113"/>
      <c r="AV85" s="114"/>
      <c r="AW85" s="114"/>
      <c r="AX85" s="114"/>
      <c r="AY85" s="114"/>
      <c r="AZ85" s="114"/>
      <c r="BA85" s="114"/>
      <c r="BB85" s="114"/>
      <c r="BC85" s="114"/>
      <c r="BD85" s="114"/>
      <c r="BE85" s="114"/>
      <c r="BF85" s="114"/>
      <c r="BG85" s="114"/>
      <c r="BH85" s="114"/>
      <c r="BI85" s="114"/>
      <c r="BJ85" s="114"/>
      <c r="BK85" s="114"/>
      <c r="BL85" s="114"/>
      <c r="BM85" s="114"/>
      <c r="BN85" s="114"/>
      <c r="BO85" s="115"/>
      <c r="BP85" s="68"/>
      <c r="BQ85" s="68"/>
      <c r="BR85" s="68"/>
      <c r="BS85" s="68"/>
      <c r="BT85" s="68"/>
      <c r="BU85" s="68"/>
      <c r="BV85" s="68"/>
      <c r="BW85" s="68"/>
      <c r="BX85" s="68"/>
      <c r="BY85" s="68"/>
      <c r="BZ85" s="98"/>
      <c r="CA85" s="95"/>
      <c r="CB85" s="95"/>
      <c r="CC85" s="95"/>
      <c r="CD85" s="96"/>
      <c r="CE85" s="50"/>
      <c r="CF85" s="156" t="s">
        <v>19</v>
      </c>
      <c r="CG85" s="156"/>
      <c r="CH85" s="156"/>
      <c r="CI85" s="156"/>
      <c r="CJ85" s="121" t="s">
        <v>46</v>
      </c>
      <c r="CK85" s="121"/>
      <c r="CL85" s="121"/>
      <c r="CM85" s="121"/>
      <c r="CN85" s="121"/>
      <c r="CO85" s="121"/>
      <c r="CP85" s="121"/>
      <c r="CQ85" s="121"/>
      <c r="CR85" s="121"/>
      <c r="CS85" s="121"/>
      <c r="CT85" s="121"/>
      <c r="CU85" s="121"/>
      <c r="CV85" s="121"/>
      <c r="CW85" s="121"/>
      <c r="CX85" s="121"/>
      <c r="CY85" s="121"/>
      <c r="CZ85" s="121"/>
      <c r="DA85" s="121"/>
      <c r="DB85" s="119"/>
      <c r="DC85" s="119"/>
      <c r="DD85" s="119"/>
      <c r="DE85" s="119"/>
      <c r="DF85" s="119"/>
      <c r="DG85" s="119"/>
      <c r="DH85" s="116"/>
      <c r="DI85" s="116"/>
      <c r="DJ85" s="116"/>
      <c r="DK85" s="116"/>
      <c r="DL85" s="84"/>
      <c r="DM85" s="84"/>
      <c r="DN85" s="84"/>
      <c r="DO85" s="84"/>
      <c r="DP85" s="72"/>
      <c r="DQ85" s="73"/>
      <c r="DR85" s="73"/>
      <c r="DS85" s="74"/>
    </row>
    <row r="86" spans="1:141" ht="6" customHeight="1" x14ac:dyDescent="0.35">
      <c r="A86" s="140"/>
      <c r="B86" s="141"/>
      <c r="C86" s="141"/>
      <c r="D86" s="142"/>
      <c r="E86" s="132"/>
      <c r="F86" s="133"/>
      <c r="G86" s="133"/>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6"/>
      <c r="AN86" s="136"/>
      <c r="AO86" s="136"/>
      <c r="AP86" s="130"/>
      <c r="AQ86" s="130"/>
      <c r="AR86" s="130"/>
      <c r="AS86" s="131"/>
      <c r="AU86" s="110"/>
      <c r="AV86" s="111"/>
      <c r="AW86" s="111"/>
      <c r="AX86" s="111"/>
      <c r="AY86" s="111"/>
      <c r="AZ86" s="111"/>
      <c r="BA86" s="111"/>
      <c r="BB86" s="111"/>
      <c r="BC86" s="111"/>
      <c r="BD86" s="111"/>
      <c r="BE86" s="111"/>
      <c r="BF86" s="111"/>
      <c r="BG86" s="111"/>
      <c r="BH86" s="111"/>
      <c r="BI86" s="111"/>
      <c r="BJ86" s="111"/>
      <c r="BK86" s="111"/>
      <c r="BL86" s="111"/>
      <c r="BM86" s="111"/>
      <c r="BN86" s="111"/>
      <c r="BO86" s="112"/>
      <c r="BP86" s="68"/>
      <c r="BQ86" s="68"/>
      <c r="BR86" s="68"/>
      <c r="BS86" s="68"/>
      <c r="BT86" s="68"/>
      <c r="BU86" s="68"/>
      <c r="BV86" s="68"/>
      <c r="BW86" s="68"/>
      <c r="BX86" s="68"/>
      <c r="BY86" s="68"/>
      <c r="BZ86" s="97"/>
      <c r="CA86" s="93"/>
      <c r="CB86" s="93"/>
      <c r="CC86" s="93"/>
      <c r="CD86" s="94"/>
      <c r="CE86" s="50"/>
      <c r="CF86" s="156"/>
      <c r="CG86" s="156"/>
      <c r="CH86" s="156"/>
      <c r="CI86" s="156"/>
      <c r="CJ86" s="121"/>
      <c r="CK86" s="121"/>
      <c r="CL86" s="121"/>
      <c r="CM86" s="121"/>
      <c r="CN86" s="121"/>
      <c r="CO86" s="121"/>
      <c r="CP86" s="121"/>
      <c r="CQ86" s="121"/>
      <c r="CR86" s="121"/>
      <c r="CS86" s="121"/>
      <c r="CT86" s="121"/>
      <c r="CU86" s="121"/>
      <c r="CV86" s="121"/>
      <c r="CW86" s="121"/>
      <c r="CX86" s="121"/>
      <c r="CY86" s="121"/>
      <c r="CZ86" s="121"/>
      <c r="DA86" s="121"/>
      <c r="DB86" s="119"/>
      <c r="DC86" s="119"/>
      <c r="DD86" s="119"/>
      <c r="DE86" s="119"/>
      <c r="DF86" s="119"/>
      <c r="DG86" s="119"/>
      <c r="DH86" s="116"/>
      <c r="DI86" s="116"/>
      <c r="DJ86" s="116"/>
      <c r="DK86" s="116"/>
      <c r="DL86" s="84"/>
      <c r="DM86" s="84"/>
      <c r="DN86" s="84"/>
      <c r="DO86" s="84"/>
      <c r="DP86" s="75"/>
      <c r="DQ86" s="76"/>
      <c r="DR86" s="76"/>
      <c r="DS86" s="77"/>
    </row>
    <row r="87" spans="1:141" ht="6" customHeight="1" x14ac:dyDescent="0.35">
      <c r="A87" s="156" t="s">
        <v>18</v>
      </c>
      <c r="B87" s="156"/>
      <c r="C87" s="156"/>
      <c r="D87" s="156"/>
      <c r="E87" s="134" t="s">
        <v>228</v>
      </c>
      <c r="F87" s="134"/>
      <c r="G87" s="134"/>
      <c r="H87" s="134"/>
      <c r="I87" s="134"/>
      <c r="J87" s="134"/>
      <c r="K87" s="134"/>
      <c r="L87" s="134"/>
      <c r="M87" s="134"/>
      <c r="N87" s="134"/>
      <c r="O87" s="134"/>
      <c r="P87" s="134"/>
      <c r="Q87" s="134"/>
      <c r="R87" s="134"/>
      <c r="S87" s="134"/>
      <c r="T87" s="134"/>
      <c r="U87" s="134"/>
      <c r="V87" s="134"/>
      <c r="W87" s="134"/>
      <c r="X87" s="134"/>
      <c r="Y87" s="134"/>
      <c r="Z87" s="134"/>
      <c r="AA87" s="134"/>
      <c r="AB87" s="119" t="str">
        <f>_xlfn.XLOOKUP(E89,BroadSkills,BroadSkillAspects,"",0,1)</f>
        <v>Mind</v>
      </c>
      <c r="AC87" s="119"/>
      <c r="AD87" s="119"/>
      <c r="AE87" s="119"/>
      <c r="AF87" s="119"/>
      <c r="AG87" s="119"/>
      <c r="AH87" s="70">
        <v>2</v>
      </c>
      <c r="AI87" s="70"/>
      <c r="AJ87" s="70"/>
      <c r="AK87" s="164"/>
      <c r="AL87" s="143" t="str">
        <f>IF(_ACTR_9&gt;0,_ACTR_9,"")</f>
        <v/>
      </c>
      <c r="AM87" s="144"/>
      <c r="AN87" s="144"/>
      <c r="AO87" s="145"/>
      <c r="AP87" s="151">
        <v>9</v>
      </c>
      <c r="AQ87" s="70"/>
      <c r="AR87" s="70"/>
      <c r="AS87" s="71"/>
      <c r="AU87" s="113"/>
      <c r="AV87" s="114"/>
      <c r="AW87" s="114"/>
      <c r="AX87" s="114"/>
      <c r="AY87" s="114"/>
      <c r="AZ87" s="114"/>
      <c r="BA87" s="114"/>
      <c r="BB87" s="114"/>
      <c r="BC87" s="114"/>
      <c r="BD87" s="114"/>
      <c r="BE87" s="114"/>
      <c r="BF87" s="114"/>
      <c r="BG87" s="114"/>
      <c r="BH87" s="114"/>
      <c r="BI87" s="114"/>
      <c r="BJ87" s="114"/>
      <c r="BK87" s="114"/>
      <c r="BL87" s="114"/>
      <c r="BM87" s="114"/>
      <c r="BN87" s="114"/>
      <c r="BO87" s="115"/>
      <c r="BP87" s="68"/>
      <c r="BQ87" s="68"/>
      <c r="BR87" s="68"/>
      <c r="BS87" s="68"/>
      <c r="BT87" s="68"/>
      <c r="BU87" s="68"/>
      <c r="BV87" s="68"/>
      <c r="BW87" s="68"/>
      <c r="BX87" s="68"/>
      <c r="BY87" s="68"/>
      <c r="BZ87" s="98"/>
      <c r="CA87" s="95"/>
      <c r="CB87" s="95"/>
      <c r="CC87" s="95"/>
      <c r="CD87" s="96"/>
      <c r="CE87" s="50"/>
      <c r="CF87" s="137" t="s">
        <v>54</v>
      </c>
      <c r="CG87" s="138"/>
      <c r="CH87" s="138"/>
      <c r="CI87" s="138"/>
      <c r="CJ87" s="78"/>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80"/>
    </row>
    <row r="88" spans="1:141" ht="6" customHeight="1" x14ac:dyDescent="0.35">
      <c r="A88" s="156"/>
      <c r="B88" s="156"/>
      <c r="C88" s="156"/>
      <c r="D88" s="156"/>
      <c r="E88" s="134"/>
      <c r="F88" s="134"/>
      <c r="G88" s="134"/>
      <c r="H88" s="134"/>
      <c r="I88" s="134"/>
      <c r="J88" s="134"/>
      <c r="K88" s="134"/>
      <c r="L88" s="134"/>
      <c r="M88" s="134"/>
      <c r="N88" s="134"/>
      <c r="O88" s="134"/>
      <c r="P88" s="134"/>
      <c r="Q88" s="134"/>
      <c r="R88" s="134"/>
      <c r="S88" s="134"/>
      <c r="T88" s="134"/>
      <c r="U88" s="134"/>
      <c r="V88" s="134"/>
      <c r="W88" s="134"/>
      <c r="X88" s="134"/>
      <c r="Y88" s="134"/>
      <c r="Z88" s="134"/>
      <c r="AA88" s="134"/>
      <c r="AB88" s="119"/>
      <c r="AC88" s="119"/>
      <c r="AD88" s="119"/>
      <c r="AE88" s="119"/>
      <c r="AF88" s="119"/>
      <c r="AG88" s="119"/>
      <c r="AH88" s="73"/>
      <c r="AI88" s="73"/>
      <c r="AJ88" s="73"/>
      <c r="AK88" s="165"/>
      <c r="AL88" s="146"/>
      <c r="AM88" s="117"/>
      <c r="AN88" s="117"/>
      <c r="AO88" s="147"/>
      <c r="AP88" s="152"/>
      <c r="AQ88" s="73"/>
      <c r="AR88" s="73"/>
      <c r="AS88" s="74"/>
      <c r="AU88" s="110"/>
      <c r="AV88" s="111"/>
      <c r="AW88" s="111"/>
      <c r="AX88" s="111"/>
      <c r="AY88" s="111"/>
      <c r="AZ88" s="111"/>
      <c r="BA88" s="111"/>
      <c r="BB88" s="111"/>
      <c r="BC88" s="111"/>
      <c r="BD88" s="111"/>
      <c r="BE88" s="111"/>
      <c r="BF88" s="111"/>
      <c r="BG88" s="111"/>
      <c r="BH88" s="111"/>
      <c r="BI88" s="111"/>
      <c r="BJ88" s="111"/>
      <c r="BK88" s="111"/>
      <c r="BL88" s="111"/>
      <c r="BM88" s="111"/>
      <c r="BN88" s="111"/>
      <c r="BO88" s="112"/>
      <c r="BP88" s="68"/>
      <c r="BQ88" s="68"/>
      <c r="BR88" s="68"/>
      <c r="BS88" s="68"/>
      <c r="BT88" s="68"/>
      <c r="BU88" s="68"/>
      <c r="BV88" s="68"/>
      <c r="BW88" s="68"/>
      <c r="BX88" s="68"/>
      <c r="BY88" s="68"/>
      <c r="BZ88" s="97"/>
      <c r="CA88" s="93"/>
      <c r="CB88" s="93"/>
      <c r="CC88" s="93"/>
      <c r="CD88" s="94"/>
      <c r="CF88" s="137"/>
      <c r="CG88" s="138"/>
      <c r="CH88" s="138"/>
      <c r="CI88" s="138"/>
      <c r="CJ88" s="81"/>
      <c r="CK88" s="82"/>
      <c r="CL88" s="82"/>
      <c r="CM88" s="82"/>
      <c r="CN88" s="82"/>
      <c r="CO88" s="82"/>
      <c r="CP88" s="82"/>
      <c r="CQ88" s="82"/>
      <c r="CR88" s="82"/>
      <c r="CS88" s="82"/>
      <c r="CT88" s="82"/>
      <c r="CU88" s="82"/>
      <c r="CV88" s="82"/>
      <c r="CW88" s="82"/>
      <c r="CX88" s="82"/>
      <c r="CY88" s="82"/>
      <c r="CZ88" s="82"/>
      <c r="DA88" s="82"/>
      <c r="DB88" s="82"/>
      <c r="DC88" s="82"/>
      <c r="DD88" s="82"/>
      <c r="DE88" s="82"/>
      <c r="DF88" s="82"/>
      <c r="DG88" s="82"/>
      <c r="DH88" s="82"/>
      <c r="DI88" s="82"/>
      <c r="DJ88" s="82"/>
      <c r="DK88" s="82"/>
      <c r="DL88" s="82"/>
      <c r="DM88" s="82"/>
      <c r="DN88" s="82"/>
      <c r="DO88" s="82"/>
      <c r="DP88" s="82"/>
      <c r="DQ88" s="82"/>
      <c r="DR88" s="82"/>
      <c r="DS88" s="83"/>
    </row>
    <row r="89" spans="1:141" ht="6" customHeight="1" x14ac:dyDescent="0.35">
      <c r="A89" s="156" t="s">
        <v>19</v>
      </c>
      <c r="B89" s="156"/>
      <c r="C89" s="156"/>
      <c r="D89" s="156"/>
      <c r="E89" s="134" t="s">
        <v>43</v>
      </c>
      <c r="F89" s="134"/>
      <c r="G89" s="134"/>
      <c r="H89" s="134"/>
      <c r="I89" s="134"/>
      <c r="J89" s="134"/>
      <c r="K89" s="134"/>
      <c r="L89" s="134"/>
      <c r="M89" s="134"/>
      <c r="N89" s="134"/>
      <c r="O89" s="134"/>
      <c r="P89" s="134"/>
      <c r="Q89" s="134"/>
      <c r="R89" s="134"/>
      <c r="S89" s="134"/>
      <c r="T89" s="134"/>
      <c r="U89" s="134"/>
      <c r="V89" s="134"/>
      <c r="W89" s="134"/>
      <c r="X89" s="134"/>
      <c r="Y89" s="134"/>
      <c r="Z89" s="134"/>
      <c r="AA89" s="134"/>
      <c r="AB89" s="119"/>
      <c r="AC89" s="119"/>
      <c r="AD89" s="119"/>
      <c r="AE89" s="119"/>
      <c r="AF89" s="119"/>
      <c r="AG89" s="119"/>
      <c r="AH89" s="154"/>
      <c r="AI89" s="154"/>
      <c r="AJ89" s="154"/>
      <c r="AK89" s="166"/>
      <c r="AL89" s="148"/>
      <c r="AM89" s="149"/>
      <c r="AN89" s="149"/>
      <c r="AO89" s="150"/>
      <c r="AP89" s="153"/>
      <c r="AQ89" s="154"/>
      <c r="AR89" s="154"/>
      <c r="AS89" s="155"/>
      <c r="AU89" s="113"/>
      <c r="AV89" s="114"/>
      <c r="AW89" s="114"/>
      <c r="AX89" s="114"/>
      <c r="AY89" s="114"/>
      <c r="AZ89" s="114"/>
      <c r="BA89" s="114"/>
      <c r="BB89" s="114"/>
      <c r="BC89" s="114"/>
      <c r="BD89" s="114"/>
      <c r="BE89" s="114"/>
      <c r="BF89" s="114"/>
      <c r="BG89" s="114"/>
      <c r="BH89" s="114"/>
      <c r="BI89" s="114"/>
      <c r="BJ89" s="114"/>
      <c r="BK89" s="114"/>
      <c r="BL89" s="114"/>
      <c r="BM89" s="114"/>
      <c r="BN89" s="114"/>
      <c r="BO89" s="115"/>
      <c r="BP89" s="68"/>
      <c r="BQ89" s="68"/>
      <c r="BR89" s="68"/>
      <c r="BS89" s="68"/>
      <c r="BT89" s="68"/>
      <c r="BU89" s="68"/>
      <c r="BV89" s="68"/>
      <c r="BW89" s="68"/>
      <c r="BX89" s="68"/>
      <c r="BY89" s="68"/>
      <c r="BZ89" s="98"/>
      <c r="CA89" s="95"/>
      <c r="CB89" s="95"/>
      <c r="CC89" s="95"/>
      <c r="CD89" s="96"/>
      <c r="CF89" s="137"/>
      <c r="CG89" s="138"/>
      <c r="CH89" s="138"/>
      <c r="CI89" s="138"/>
      <c r="CJ89" s="68"/>
      <c r="CK89" s="68"/>
      <c r="CL89" s="68"/>
      <c r="CM89" s="68"/>
      <c r="CN89" s="68"/>
      <c r="CO89" s="68"/>
      <c r="CP89" s="68"/>
      <c r="CQ89" s="68"/>
      <c r="CR89" s="68"/>
      <c r="CS89" s="68"/>
      <c r="CT89" s="68"/>
      <c r="CU89" s="68"/>
      <c r="CV89" s="68"/>
      <c r="CW89" s="68"/>
      <c r="CX89" s="68"/>
      <c r="CY89" s="68"/>
      <c r="CZ89" s="68"/>
      <c r="DA89" s="68"/>
      <c r="DB89" s="68"/>
      <c r="DC89" s="68"/>
      <c r="DD89" s="68"/>
      <c r="DE89" s="68"/>
      <c r="DF89" s="68"/>
      <c r="DG89" s="68"/>
      <c r="DH89" s="68"/>
      <c r="DI89" s="68"/>
      <c r="DJ89" s="68"/>
      <c r="DK89" s="68"/>
      <c r="DL89" s="68"/>
      <c r="DM89" s="68"/>
      <c r="DN89" s="68"/>
      <c r="DO89" s="68"/>
      <c r="DP89" s="68"/>
      <c r="DQ89" s="68"/>
      <c r="DR89" s="68"/>
      <c r="DS89" s="68"/>
    </row>
    <row r="90" spans="1:141" ht="6" customHeight="1" x14ac:dyDescent="0.35">
      <c r="A90" s="156"/>
      <c r="B90" s="156"/>
      <c r="C90" s="156"/>
      <c r="D90" s="156"/>
      <c r="E90" s="134"/>
      <c r="F90" s="134"/>
      <c r="G90" s="134"/>
      <c r="H90" s="134"/>
      <c r="I90" s="134"/>
      <c r="J90" s="134"/>
      <c r="K90" s="134"/>
      <c r="L90" s="134"/>
      <c r="M90" s="134"/>
      <c r="N90" s="134"/>
      <c r="O90" s="134"/>
      <c r="P90" s="134"/>
      <c r="Q90" s="134"/>
      <c r="R90" s="134"/>
      <c r="S90" s="134"/>
      <c r="T90" s="134"/>
      <c r="U90" s="134"/>
      <c r="V90" s="134"/>
      <c r="W90" s="134"/>
      <c r="X90" s="134"/>
      <c r="Y90" s="134"/>
      <c r="Z90" s="134"/>
      <c r="AA90" s="134"/>
      <c r="AB90" s="119"/>
      <c r="AC90" s="119"/>
      <c r="AD90" s="119"/>
      <c r="AE90" s="119"/>
      <c r="AF90" s="119"/>
      <c r="AG90" s="119"/>
      <c r="AH90" s="135" t="s">
        <v>29</v>
      </c>
      <c r="AI90" s="157"/>
      <c r="AJ90" s="161"/>
      <c r="AK90" s="127"/>
      <c r="AL90" s="127"/>
      <c r="AM90" s="162"/>
      <c r="AN90" s="135" t="s">
        <v>21</v>
      </c>
      <c r="AO90" s="157"/>
      <c r="AP90" s="161">
        <f>P91</f>
        <v>0</v>
      </c>
      <c r="AQ90" s="127"/>
      <c r="AR90" s="127"/>
      <c r="AS90" s="128"/>
      <c r="AU90" s="110"/>
      <c r="AV90" s="111"/>
      <c r="AW90" s="111"/>
      <c r="AX90" s="111"/>
      <c r="AY90" s="111"/>
      <c r="AZ90" s="111"/>
      <c r="BA90" s="111"/>
      <c r="BB90" s="111"/>
      <c r="BC90" s="111"/>
      <c r="BD90" s="111"/>
      <c r="BE90" s="111"/>
      <c r="BF90" s="111"/>
      <c r="BG90" s="111"/>
      <c r="BH90" s="111"/>
      <c r="BI90" s="111"/>
      <c r="BJ90" s="111"/>
      <c r="BK90" s="111"/>
      <c r="BL90" s="111"/>
      <c r="BM90" s="111"/>
      <c r="BN90" s="111"/>
      <c r="BO90" s="112"/>
      <c r="BP90" s="68"/>
      <c r="BQ90" s="68"/>
      <c r="BR90" s="68"/>
      <c r="BS90" s="68"/>
      <c r="BT90" s="68"/>
      <c r="BU90" s="68"/>
      <c r="BV90" s="68"/>
      <c r="BW90" s="68"/>
      <c r="BX90" s="68"/>
      <c r="BY90" s="68"/>
      <c r="BZ90" s="97"/>
      <c r="CA90" s="93"/>
      <c r="CB90" s="93"/>
      <c r="CC90" s="93"/>
      <c r="CD90" s="94"/>
      <c r="CF90" s="137"/>
      <c r="CG90" s="138"/>
      <c r="CH90" s="138"/>
      <c r="CI90" s="138"/>
      <c r="CJ90" s="68"/>
      <c r="CK90" s="68"/>
      <c r="CL90" s="68"/>
      <c r="CM90" s="68"/>
      <c r="CN90" s="68"/>
      <c r="CO90" s="68"/>
      <c r="CP90" s="68"/>
      <c r="CQ90" s="68"/>
      <c r="CR90" s="68"/>
      <c r="CS90" s="68"/>
      <c r="CT90" s="68"/>
      <c r="CU90" s="68"/>
      <c r="CV90" s="68"/>
      <c r="CW90" s="68"/>
      <c r="CX90" s="68"/>
      <c r="CY90" s="68"/>
      <c r="CZ90" s="68"/>
      <c r="DA90" s="68"/>
      <c r="DB90" s="68"/>
      <c r="DC90" s="68"/>
      <c r="DD90" s="68"/>
      <c r="DE90" s="68"/>
      <c r="DF90" s="68"/>
      <c r="DG90" s="68"/>
      <c r="DH90" s="68"/>
      <c r="DI90" s="68"/>
      <c r="DJ90" s="68"/>
      <c r="DK90" s="68"/>
      <c r="DL90" s="68"/>
      <c r="DM90" s="68"/>
      <c r="DN90" s="68"/>
      <c r="DO90" s="68"/>
      <c r="DP90" s="68"/>
      <c r="DQ90" s="68"/>
      <c r="DR90" s="68"/>
      <c r="DS90" s="68"/>
    </row>
    <row r="91" spans="1:141" ht="6" customHeight="1" x14ac:dyDescent="0.35">
      <c r="A91" s="137" t="s">
        <v>54</v>
      </c>
      <c r="B91" s="138"/>
      <c r="C91" s="138"/>
      <c r="D91" s="139"/>
      <c r="E91" s="69"/>
      <c r="F91" s="70"/>
      <c r="G91" s="70"/>
      <c r="H91" s="70"/>
      <c r="I91" s="70"/>
      <c r="J91" s="70"/>
      <c r="K91" s="70"/>
      <c r="L91" s="70"/>
      <c r="M91" s="70"/>
      <c r="N91" s="70"/>
      <c r="O91" s="71"/>
      <c r="P91" s="69"/>
      <c r="Q91" s="71"/>
      <c r="R91" s="116"/>
      <c r="S91" s="116"/>
      <c r="T91" s="116"/>
      <c r="U91" s="116"/>
      <c r="V91" s="116"/>
      <c r="W91" s="116"/>
      <c r="X91" s="116"/>
      <c r="Y91" s="116"/>
      <c r="Z91" s="116"/>
      <c r="AA91" s="116"/>
      <c r="AB91" s="116"/>
      <c r="AC91" s="116"/>
      <c r="AD91" s="116"/>
      <c r="AE91" s="116"/>
      <c r="AF91" s="119">
        <f>_AE_CCost_9</f>
        <v>0</v>
      </c>
      <c r="AG91" s="119"/>
      <c r="AH91" s="118"/>
      <c r="AI91" s="158"/>
      <c r="AJ91" s="146"/>
      <c r="AK91" s="117"/>
      <c r="AL91" s="117"/>
      <c r="AM91" s="147"/>
      <c r="AN91" s="118"/>
      <c r="AO91" s="158"/>
      <c r="AP91" s="146"/>
      <c r="AQ91" s="117"/>
      <c r="AR91" s="117"/>
      <c r="AS91" s="129"/>
      <c r="AU91" s="113"/>
      <c r="AV91" s="114"/>
      <c r="AW91" s="114"/>
      <c r="AX91" s="114"/>
      <c r="AY91" s="114"/>
      <c r="AZ91" s="114"/>
      <c r="BA91" s="114"/>
      <c r="BB91" s="114"/>
      <c r="BC91" s="114"/>
      <c r="BD91" s="114"/>
      <c r="BE91" s="114"/>
      <c r="BF91" s="114"/>
      <c r="BG91" s="114"/>
      <c r="BH91" s="114"/>
      <c r="BI91" s="114"/>
      <c r="BJ91" s="114"/>
      <c r="BK91" s="114"/>
      <c r="BL91" s="114"/>
      <c r="BM91" s="114"/>
      <c r="BN91" s="114"/>
      <c r="BO91" s="115"/>
      <c r="BP91" s="68"/>
      <c r="BQ91" s="68"/>
      <c r="BR91" s="68"/>
      <c r="BS91" s="68"/>
      <c r="BT91" s="68"/>
      <c r="BU91" s="68"/>
      <c r="BV91" s="68"/>
      <c r="BW91" s="68"/>
      <c r="BX91" s="68"/>
      <c r="BY91" s="68"/>
      <c r="BZ91" s="98"/>
      <c r="CA91" s="95"/>
      <c r="CB91" s="95"/>
      <c r="CC91" s="95"/>
      <c r="CD91" s="96"/>
      <c r="CF91" s="137"/>
      <c r="CG91" s="138"/>
      <c r="CH91" s="138"/>
      <c r="CI91" s="138"/>
      <c r="CJ91" s="68"/>
      <c r="CK91" s="68"/>
      <c r="CL91" s="68"/>
      <c r="CM91" s="68"/>
      <c r="CN91" s="68"/>
      <c r="CO91" s="68"/>
      <c r="CP91" s="68"/>
      <c r="CQ91" s="68"/>
      <c r="CR91" s="68"/>
      <c r="CS91" s="68"/>
      <c r="CT91" s="68"/>
      <c r="CU91" s="68"/>
      <c r="CV91" s="68"/>
      <c r="CW91" s="68"/>
      <c r="CX91" s="68"/>
      <c r="CY91" s="68"/>
      <c r="CZ91" s="68"/>
      <c r="DA91" s="68"/>
      <c r="DB91" s="68"/>
      <c r="DC91" s="68"/>
      <c r="DD91" s="68"/>
      <c r="DE91" s="68"/>
      <c r="DF91" s="68"/>
      <c r="DG91" s="68"/>
      <c r="DH91" s="68"/>
      <c r="DI91" s="68"/>
      <c r="DJ91" s="68"/>
      <c r="DK91" s="68"/>
      <c r="DL91" s="68"/>
      <c r="DM91" s="68"/>
      <c r="DN91" s="68"/>
      <c r="DO91" s="68"/>
      <c r="DP91" s="68"/>
      <c r="DQ91" s="68"/>
      <c r="DR91" s="68"/>
      <c r="DS91" s="68"/>
    </row>
    <row r="92" spans="1:141" ht="6" customHeight="1" x14ac:dyDescent="0.35">
      <c r="A92" s="137"/>
      <c r="B92" s="138"/>
      <c r="C92" s="138"/>
      <c r="D92" s="139"/>
      <c r="E92" s="75"/>
      <c r="F92" s="76"/>
      <c r="G92" s="76"/>
      <c r="H92" s="76"/>
      <c r="I92" s="76"/>
      <c r="J92" s="76"/>
      <c r="K92" s="76"/>
      <c r="L92" s="76"/>
      <c r="M92" s="76"/>
      <c r="N92" s="76"/>
      <c r="O92" s="77"/>
      <c r="P92" s="75"/>
      <c r="Q92" s="77"/>
      <c r="R92" s="116"/>
      <c r="S92" s="116"/>
      <c r="T92" s="116"/>
      <c r="U92" s="116"/>
      <c r="V92" s="116"/>
      <c r="W92" s="116"/>
      <c r="X92" s="116"/>
      <c r="Y92" s="116"/>
      <c r="Z92" s="116"/>
      <c r="AA92" s="116"/>
      <c r="AB92" s="116"/>
      <c r="AC92" s="116"/>
      <c r="AD92" s="116"/>
      <c r="AE92" s="116"/>
      <c r="AF92" s="119"/>
      <c r="AG92" s="119"/>
      <c r="AH92" s="159"/>
      <c r="AI92" s="160"/>
      <c r="AJ92" s="148"/>
      <c r="AK92" s="149"/>
      <c r="AL92" s="149"/>
      <c r="AM92" s="150"/>
      <c r="AN92" s="159"/>
      <c r="AO92" s="160"/>
      <c r="AP92" s="148"/>
      <c r="AQ92" s="149"/>
      <c r="AR92" s="149"/>
      <c r="AS92" s="163"/>
      <c r="AU92" s="49"/>
      <c r="AV92" s="49"/>
      <c r="AW92" s="49"/>
      <c r="AX92" s="49"/>
      <c r="AY92" s="49"/>
      <c r="AZ92" s="49"/>
      <c r="BA92" s="49"/>
      <c r="BB92" s="49"/>
      <c r="BC92" s="49"/>
      <c r="BD92" s="49"/>
      <c r="BE92" s="49"/>
      <c r="BF92" s="49"/>
      <c r="BG92" s="49"/>
      <c r="BH92" s="49"/>
      <c r="BI92" s="49"/>
      <c r="BJ92" s="49"/>
      <c r="BK92" s="49"/>
      <c r="BL92" s="49"/>
      <c r="BM92" s="49"/>
      <c r="BN92" s="49"/>
      <c r="BO92" s="49"/>
      <c r="BP92" s="49"/>
      <c r="BQ92" s="49"/>
      <c r="BR92" s="49"/>
      <c r="BS92" s="49"/>
      <c r="BT92" s="49"/>
      <c r="BU92" s="49"/>
      <c r="BV92" s="49"/>
      <c r="BW92" s="49"/>
      <c r="BX92" s="49"/>
      <c r="BY92" s="49"/>
      <c r="BZ92" s="49"/>
      <c r="CA92" s="49"/>
      <c r="CB92" s="49"/>
      <c r="CC92" s="49"/>
      <c r="CD92" s="49"/>
      <c r="CF92" s="140"/>
      <c r="CG92" s="141"/>
      <c r="CH92" s="141"/>
      <c r="CI92" s="141"/>
      <c r="CJ92" s="68"/>
      <c r="CK92" s="68"/>
      <c r="CL92" s="68"/>
      <c r="CM92" s="68"/>
      <c r="CN92" s="68"/>
      <c r="CO92" s="68"/>
      <c r="CP92" s="68"/>
      <c r="CQ92" s="68"/>
      <c r="CR92" s="68"/>
      <c r="CS92" s="68"/>
      <c r="CT92" s="68"/>
      <c r="CU92" s="68"/>
      <c r="CV92" s="68"/>
      <c r="CW92" s="68"/>
      <c r="CX92" s="68"/>
      <c r="CY92" s="68"/>
      <c r="CZ92" s="68"/>
      <c r="DA92" s="68"/>
      <c r="DB92" s="68"/>
      <c r="DC92" s="68"/>
      <c r="DD92" s="68"/>
      <c r="DE92" s="68"/>
      <c r="DF92" s="68"/>
      <c r="DG92" s="68"/>
      <c r="DH92" s="68"/>
      <c r="DI92" s="68"/>
      <c r="DJ92" s="68"/>
      <c r="DK92" s="68"/>
      <c r="DL92" s="68"/>
      <c r="DM92" s="68"/>
      <c r="DN92" s="68"/>
      <c r="DO92" s="68"/>
      <c r="DP92" s="68"/>
      <c r="DQ92" s="68"/>
      <c r="DR92" s="68"/>
      <c r="DS92" s="68"/>
    </row>
    <row r="93" spans="1:141" ht="6" customHeight="1" x14ac:dyDescent="0.35">
      <c r="A93" s="137"/>
      <c r="B93" s="138"/>
      <c r="C93" s="138"/>
      <c r="D93" s="139"/>
      <c r="E93" s="123"/>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c r="AL93" s="124"/>
      <c r="AM93" s="135" t="s">
        <v>22</v>
      </c>
      <c r="AN93" s="135"/>
      <c r="AO93" s="135"/>
      <c r="AP93" s="127" t="str">
        <f>IFERROR(ATR_9-MAX(A_Bulk_9,AR_Bulk),"")</f>
        <v/>
      </c>
      <c r="AQ93" s="127"/>
      <c r="AR93" s="127"/>
      <c r="AS93" s="128"/>
      <c r="AU93" s="85" t="s">
        <v>27</v>
      </c>
      <c r="AV93" s="85"/>
      <c r="AW93" s="85"/>
      <c r="AX93" s="85"/>
      <c r="AY93" s="85"/>
      <c r="AZ93" s="85"/>
      <c r="BA93" s="85"/>
      <c r="BB93" s="85"/>
      <c r="BC93" s="85"/>
      <c r="BD93" s="85"/>
      <c r="BE93" s="85"/>
      <c r="BF93" s="85"/>
      <c r="BG93" s="85"/>
      <c r="BH93" s="87"/>
      <c r="BI93" s="88"/>
      <c r="BJ93" s="88"/>
      <c r="BK93" s="88"/>
      <c r="BL93" s="88"/>
      <c r="BM93" s="88"/>
      <c r="BN93" s="88"/>
      <c r="BO93" s="88"/>
      <c r="BP93" s="88"/>
      <c r="BQ93" s="88"/>
      <c r="BR93" s="88"/>
      <c r="BS93" s="88"/>
      <c r="BT93" s="88"/>
      <c r="BU93" s="88"/>
      <c r="BV93" s="88"/>
      <c r="BW93" s="88"/>
      <c r="BX93" s="88"/>
      <c r="BY93" s="88"/>
      <c r="BZ93" s="88"/>
      <c r="CA93" s="88"/>
      <c r="CB93" s="88"/>
      <c r="CC93" s="88"/>
      <c r="CD93" s="89"/>
      <c r="DT93" s="63"/>
      <c r="DU93" s="63"/>
      <c r="DV93" s="63"/>
      <c r="DW93" s="63"/>
      <c r="DX93" s="63"/>
      <c r="DY93" s="63"/>
      <c r="DZ93" s="63"/>
      <c r="EA93" s="63"/>
      <c r="EB93" s="63"/>
      <c r="EC93" s="63"/>
      <c r="ED93" s="63"/>
      <c r="EE93" s="63"/>
      <c r="EF93" s="63"/>
      <c r="EG93" s="63"/>
      <c r="EH93" s="63"/>
      <c r="EI93" s="63"/>
      <c r="EJ93" s="63"/>
      <c r="EK93" s="63"/>
    </row>
    <row r="94" spans="1:141" ht="6" customHeight="1" x14ac:dyDescent="0.35">
      <c r="A94" s="137"/>
      <c r="B94" s="138"/>
      <c r="C94" s="138"/>
      <c r="D94" s="139"/>
      <c r="E94" s="125"/>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c r="AD94" s="126"/>
      <c r="AE94" s="126"/>
      <c r="AF94" s="126"/>
      <c r="AG94" s="126"/>
      <c r="AH94" s="126"/>
      <c r="AI94" s="126"/>
      <c r="AJ94" s="126"/>
      <c r="AK94" s="126"/>
      <c r="AL94" s="126"/>
      <c r="AM94" s="118"/>
      <c r="AN94" s="118"/>
      <c r="AO94" s="118"/>
      <c r="AP94" s="117"/>
      <c r="AQ94" s="117"/>
      <c r="AR94" s="117"/>
      <c r="AS94" s="129"/>
      <c r="AU94" s="85"/>
      <c r="AV94" s="85"/>
      <c r="AW94" s="85"/>
      <c r="AX94" s="85"/>
      <c r="AY94" s="85"/>
      <c r="AZ94" s="85"/>
      <c r="BA94" s="85"/>
      <c r="BB94" s="85"/>
      <c r="BC94" s="85"/>
      <c r="BD94" s="85"/>
      <c r="BE94" s="85"/>
      <c r="BF94" s="85"/>
      <c r="BG94" s="85"/>
      <c r="BH94" s="90"/>
      <c r="BI94" s="91"/>
      <c r="BJ94" s="91"/>
      <c r="BK94" s="91"/>
      <c r="BL94" s="91"/>
      <c r="BM94" s="91"/>
      <c r="BN94" s="91"/>
      <c r="BO94" s="91"/>
      <c r="BP94" s="91"/>
      <c r="BQ94" s="91"/>
      <c r="BR94" s="91"/>
      <c r="BS94" s="91"/>
      <c r="BT94" s="91"/>
      <c r="BU94" s="91"/>
      <c r="BV94" s="91"/>
      <c r="BW94" s="91"/>
      <c r="BX94" s="91"/>
      <c r="BY94" s="91"/>
      <c r="BZ94" s="91"/>
      <c r="CA94" s="91"/>
      <c r="CB94" s="91"/>
      <c r="CC94" s="91"/>
      <c r="CD94" s="92"/>
      <c r="CF94" s="67" t="s">
        <v>171</v>
      </c>
      <c r="CG94" s="67"/>
      <c r="CH94" s="67"/>
      <c r="CI94" s="67"/>
      <c r="CJ94" s="67"/>
      <c r="CK94" s="67"/>
      <c r="CL94" s="67"/>
      <c r="CM94" s="67"/>
      <c r="CN94" s="67"/>
      <c r="CO94" s="67"/>
      <c r="CP94" s="67"/>
      <c r="CQ94" s="67"/>
      <c r="CR94" s="67"/>
      <c r="CS94" s="67"/>
      <c r="CT94" s="67"/>
      <c r="CU94" s="279" t="s">
        <v>172</v>
      </c>
      <c r="CV94" s="279"/>
      <c r="CW94" s="279"/>
      <c r="CX94" s="277" t="s">
        <v>31</v>
      </c>
      <c r="CY94" s="277"/>
      <c r="CZ94" s="277" t="s">
        <v>32</v>
      </c>
      <c r="DA94" s="277"/>
      <c r="DB94" s="277" t="s">
        <v>20</v>
      </c>
      <c r="DC94" s="277"/>
      <c r="DD94" s="277" t="s">
        <v>176</v>
      </c>
      <c r="DE94" s="277"/>
      <c r="DF94" s="277" t="s">
        <v>33</v>
      </c>
      <c r="DG94" s="277"/>
      <c r="DH94" s="277" t="s">
        <v>175</v>
      </c>
      <c r="DI94" s="277"/>
      <c r="DJ94" s="277" t="s">
        <v>67</v>
      </c>
      <c r="DK94" s="277"/>
      <c r="DL94" s="277" t="s">
        <v>30</v>
      </c>
      <c r="DM94" s="277"/>
      <c r="DN94" s="277"/>
      <c r="DO94" s="277"/>
      <c r="DP94" s="277" t="s">
        <v>25</v>
      </c>
      <c r="DQ94" s="277"/>
      <c r="DR94" s="277"/>
      <c r="DS94" s="277"/>
      <c r="DT94" s="63"/>
      <c r="DU94" s="63"/>
      <c r="DV94" s="63"/>
      <c r="DW94" s="63"/>
      <c r="DX94" s="63"/>
      <c r="DY94" s="63"/>
      <c r="DZ94" s="63"/>
      <c r="EA94" s="63"/>
      <c r="EB94" s="63"/>
      <c r="EC94" s="63"/>
      <c r="ED94" s="63"/>
      <c r="EE94" s="63"/>
      <c r="EF94" s="63"/>
      <c r="EG94" s="63"/>
      <c r="EH94" s="63"/>
      <c r="EI94" s="63"/>
      <c r="EJ94" s="63"/>
      <c r="EK94" s="63"/>
    </row>
    <row r="95" spans="1:141" ht="6" customHeight="1" x14ac:dyDescent="0.35">
      <c r="A95" s="137"/>
      <c r="B95" s="138"/>
      <c r="C95" s="138"/>
      <c r="D95" s="139"/>
      <c r="E95" s="123"/>
      <c r="F95" s="124"/>
      <c r="G95" s="124"/>
      <c r="H95" s="124"/>
      <c r="I95" s="124"/>
      <c r="J95" s="124"/>
      <c r="K95" s="124"/>
      <c r="L95" s="124"/>
      <c r="M95" s="124"/>
      <c r="N95" s="124"/>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18"/>
      <c r="AN95" s="118"/>
      <c r="AO95" s="118"/>
      <c r="AP95" s="117"/>
      <c r="AQ95" s="117"/>
      <c r="AR95" s="117"/>
      <c r="AS95" s="129"/>
      <c r="CF95" s="67"/>
      <c r="CG95" s="67"/>
      <c r="CH95" s="67"/>
      <c r="CI95" s="67"/>
      <c r="CJ95" s="67"/>
      <c r="CK95" s="67"/>
      <c r="CL95" s="67"/>
      <c r="CM95" s="67"/>
      <c r="CN95" s="67"/>
      <c r="CO95" s="67"/>
      <c r="CP95" s="67"/>
      <c r="CQ95" s="67"/>
      <c r="CR95" s="67"/>
      <c r="CS95" s="67"/>
      <c r="CT95" s="67"/>
      <c r="CU95" s="280"/>
      <c r="CV95" s="280"/>
      <c r="CW95" s="280"/>
      <c r="CX95" s="277"/>
      <c r="CY95" s="277"/>
      <c r="CZ95" s="277"/>
      <c r="DA95" s="277"/>
      <c r="DB95" s="277"/>
      <c r="DC95" s="277"/>
      <c r="DD95" s="277"/>
      <c r="DE95" s="277"/>
      <c r="DF95" s="277"/>
      <c r="DG95" s="277"/>
      <c r="DH95" s="277"/>
      <c r="DI95" s="277"/>
      <c r="DJ95" s="277"/>
      <c r="DK95" s="277"/>
      <c r="DL95" s="277"/>
      <c r="DM95" s="277"/>
      <c r="DN95" s="277"/>
      <c r="DO95" s="277"/>
      <c r="DP95" s="277"/>
      <c r="DQ95" s="277"/>
      <c r="DR95" s="277"/>
      <c r="DS95" s="277"/>
      <c r="DT95" s="63"/>
      <c r="DU95" s="63"/>
      <c r="DV95" s="63"/>
      <c r="DW95" s="63"/>
      <c r="DX95" s="63"/>
      <c r="DY95" s="63"/>
      <c r="DZ95" s="63"/>
      <c r="EA95" s="63"/>
      <c r="EB95" s="63"/>
      <c r="EC95" s="63"/>
      <c r="ED95" s="63"/>
      <c r="EE95" s="63"/>
      <c r="EF95" s="63"/>
      <c r="EG95" s="63"/>
      <c r="EH95" s="63"/>
      <c r="EI95" s="63"/>
      <c r="EJ95" s="63"/>
      <c r="EK95" s="63"/>
    </row>
    <row r="96" spans="1:141" ht="6" customHeight="1" x14ac:dyDescent="0.35">
      <c r="A96" s="140"/>
      <c r="B96" s="141"/>
      <c r="C96" s="141"/>
      <c r="D96" s="142"/>
      <c r="E96" s="132"/>
      <c r="F96" s="133"/>
      <c r="G96" s="133"/>
      <c r="H96" s="133"/>
      <c r="I96" s="133"/>
      <c r="J96" s="133"/>
      <c r="K96" s="133"/>
      <c r="L96" s="133"/>
      <c r="M96" s="133"/>
      <c r="N96" s="133"/>
      <c r="O96" s="133"/>
      <c r="P96" s="133"/>
      <c r="Q96" s="133"/>
      <c r="R96" s="133"/>
      <c r="S96" s="133"/>
      <c r="T96" s="133"/>
      <c r="U96" s="133"/>
      <c r="V96" s="133"/>
      <c r="W96" s="133"/>
      <c r="X96" s="133"/>
      <c r="Y96" s="133"/>
      <c r="Z96" s="133"/>
      <c r="AA96" s="133"/>
      <c r="AB96" s="133"/>
      <c r="AC96" s="133"/>
      <c r="AD96" s="133"/>
      <c r="AE96" s="133"/>
      <c r="AF96" s="133"/>
      <c r="AG96" s="133"/>
      <c r="AH96" s="133"/>
      <c r="AI96" s="133"/>
      <c r="AJ96" s="133"/>
      <c r="AK96" s="133"/>
      <c r="AL96" s="133"/>
      <c r="AM96" s="136"/>
      <c r="AN96" s="136"/>
      <c r="AO96" s="136"/>
      <c r="AP96" s="130"/>
      <c r="AQ96" s="130"/>
      <c r="AR96" s="130"/>
      <c r="AS96" s="131"/>
      <c r="AU96" s="85" t="s">
        <v>28</v>
      </c>
      <c r="AV96" s="85"/>
      <c r="AW96" s="85"/>
      <c r="AX96" s="85"/>
      <c r="AY96" s="85"/>
      <c r="AZ96" s="85"/>
      <c r="BA96" s="85"/>
      <c r="BB96" s="85"/>
      <c r="BC96" s="85"/>
      <c r="BD96" s="85"/>
      <c r="BE96" s="85"/>
      <c r="BF96" s="85"/>
      <c r="BG96" s="86"/>
      <c r="BH96" s="87"/>
      <c r="BI96" s="88"/>
      <c r="BJ96" s="88"/>
      <c r="BK96" s="88"/>
      <c r="BL96" s="88"/>
      <c r="BM96" s="88"/>
      <c r="BN96" s="88"/>
      <c r="BO96" s="88"/>
      <c r="BP96" s="88"/>
      <c r="BQ96" s="88"/>
      <c r="BR96" s="88"/>
      <c r="BS96" s="88"/>
      <c r="BT96" s="88"/>
      <c r="BU96" s="88"/>
      <c r="BV96" s="88"/>
      <c r="BW96" s="88"/>
      <c r="BX96" s="88"/>
      <c r="BY96" s="88"/>
      <c r="BZ96" s="88"/>
      <c r="CA96" s="88"/>
      <c r="CB96" s="88"/>
      <c r="CC96" s="88"/>
      <c r="CD96" s="89"/>
      <c r="CF96" s="68"/>
      <c r="CG96" s="68"/>
      <c r="CH96" s="68"/>
      <c r="CI96" s="68"/>
      <c r="CJ96" s="68"/>
      <c r="CK96" s="68"/>
      <c r="CL96" s="68"/>
      <c r="CM96" s="68"/>
      <c r="CN96" s="68"/>
      <c r="CO96" s="68"/>
      <c r="CP96" s="68"/>
      <c r="CQ96" s="68"/>
      <c r="CR96" s="68"/>
      <c r="CS96" s="68"/>
      <c r="CT96" s="68"/>
      <c r="CU96" s="278"/>
      <c r="CV96" s="278"/>
      <c r="CW96" s="278"/>
      <c r="CX96" s="281"/>
      <c r="CY96" s="281"/>
      <c r="CZ96" s="281"/>
      <c r="DA96" s="281"/>
      <c r="DB96" s="281"/>
      <c r="DC96" s="281"/>
      <c r="DD96" s="281"/>
      <c r="DE96" s="281"/>
      <c r="DF96" s="281"/>
      <c r="DG96" s="281"/>
      <c r="DH96" s="281"/>
      <c r="DI96" s="281"/>
      <c r="DJ96" s="281"/>
      <c r="DK96" s="281"/>
      <c r="DL96" s="180"/>
      <c r="DM96" s="181"/>
      <c r="DN96" s="181"/>
      <c r="DO96" s="182"/>
      <c r="DP96" s="281"/>
      <c r="DQ96" s="281"/>
      <c r="DR96" s="281"/>
      <c r="DS96" s="281"/>
      <c r="DT96" s="63"/>
      <c r="DU96" s="63"/>
      <c r="DV96" s="63"/>
      <c r="DW96" s="63"/>
      <c r="DX96" s="63"/>
      <c r="DY96" s="63"/>
      <c r="DZ96" s="63"/>
      <c r="EA96" s="63"/>
      <c r="EB96" s="63"/>
      <c r="EC96" s="63"/>
      <c r="ED96" s="63"/>
      <c r="EE96" s="63"/>
      <c r="EF96" s="63"/>
      <c r="EG96" s="63"/>
      <c r="EH96" s="63"/>
      <c r="EI96" s="63"/>
      <c r="EJ96" s="63"/>
      <c r="EK96" s="63"/>
    </row>
    <row r="97" spans="1:181" ht="6" customHeight="1" x14ac:dyDescent="0.35">
      <c r="A97" s="169" t="s">
        <v>36</v>
      </c>
      <c r="B97" s="169"/>
      <c r="C97" s="169"/>
      <c r="D97" s="169"/>
      <c r="E97" s="177" t="s">
        <v>39</v>
      </c>
      <c r="F97" s="177"/>
      <c r="G97" s="177"/>
      <c r="H97" s="177"/>
      <c r="I97" s="69">
        <v>150</v>
      </c>
      <c r="J97" s="70"/>
      <c r="K97" s="70"/>
      <c r="L97" s="70"/>
      <c r="M97" s="71"/>
      <c r="N97" s="52"/>
      <c r="O97" s="53"/>
      <c r="P97" s="53"/>
      <c r="Q97" s="53"/>
      <c r="R97" s="171" t="s">
        <v>38</v>
      </c>
      <c r="S97" s="171"/>
      <c r="T97" s="116"/>
      <c r="U97" s="116"/>
      <c r="V97" s="116"/>
      <c r="W97" s="116"/>
      <c r="X97" s="116"/>
      <c r="Y97" s="171" t="s">
        <v>37</v>
      </c>
      <c r="Z97" s="171"/>
      <c r="AA97" s="119" cm="1">
        <f t="array" ref="AA97">SUM(-(DO7:DS18),DO22:DS39,BZ76:CD91,_Sum_Skill_Costs,GearCosts,AR_Cost,EdgeCosts)</f>
        <v>112</v>
      </c>
      <c r="AB97" s="119"/>
      <c r="AC97" s="119"/>
      <c r="AD97" s="119"/>
      <c r="AE97" s="119"/>
      <c r="AF97" s="54"/>
      <c r="AG97" s="54"/>
      <c r="AH97" s="54"/>
      <c r="AI97" s="54"/>
      <c r="AJ97" s="54"/>
      <c r="AK97" s="54"/>
      <c r="AL97" s="54"/>
      <c r="AM97" s="171" t="s">
        <v>71</v>
      </c>
      <c r="AN97" s="171"/>
      <c r="AO97" s="173">
        <f>I97+T97-AA97</f>
        <v>38</v>
      </c>
      <c r="AP97" s="144"/>
      <c r="AQ97" s="144"/>
      <c r="AR97" s="144"/>
      <c r="AS97" s="174"/>
      <c r="AU97" s="85"/>
      <c r="AV97" s="85"/>
      <c r="AW97" s="85"/>
      <c r="AX97" s="85"/>
      <c r="AY97" s="85"/>
      <c r="AZ97" s="85"/>
      <c r="BA97" s="85"/>
      <c r="BB97" s="85"/>
      <c r="BC97" s="85"/>
      <c r="BD97" s="85"/>
      <c r="BE97" s="85"/>
      <c r="BF97" s="85"/>
      <c r="BG97" s="86"/>
      <c r="BH97" s="90"/>
      <c r="BI97" s="91"/>
      <c r="BJ97" s="91"/>
      <c r="BK97" s="91"/>
      <c r="BL97" s="91"/>
      <c r="BM97" s="91"/>
      <c r="BN97" s="91"/>
      <c r="BO97" s="91"/>
      <c r="BP97" s="91"/>
      <c r="BQ97" s="91"/>
      <c r="BR97" s="91"/>
      <c r="BS97" s="91"/>
      <c r="BT97" s="91"/>
      <c r="BU97" s="91"/>
      <c r="BV97" s="91"/>
      <c r="BW97" s="91"/>
      <c r="BX97" s="91"/>
      <c r="BY97" s="91"/>
      <c r="BZ97" s="91"/>
      <c r="CA97" s="91"/>
      <c r="CB97" s="91"/>
      <c r="CC97" s="91"/>
      <c r="CD97" s="92"/>
      <c r="CF97" s="68"/>
      <c r="CG97" s="68"/>
      <c r="CH97" s="68"/>
      <c r="CI97" s="68"/>
      <c r="CJ97" s="68"/>
      <c r="CK97" s="68"/>
      <c r="CL97" s="68"/>
      <c r="CM97" s="68"/>
      <c r="CN97" s="68"/>
      <c r="CO97" s="68"/>
      <c r="CP97" s="68"/>
      <c r="CQ97" s="68"/>
      <c r="CR97" s="68"/>
      <c r="CS97" s="68"/>
      <c r="CT97" s="68"/>
      <c r="CU97" s="278"/>
      <c r="CV97" s="278"/>
      <c r="CW97" s="278"/>
      <c r="CX97" s="282"/>
      <c r="CY97" s="282"/>
      <c r="CZ97" s="282"/>
      <c r="DA97" s="282"/>
      <c r="DB97" s="282"/>
      <c r="DC97" s="282"/>
      <c r="DD97" s="282"/>
      <c r="DE97" s="282"/>
      <c r="DF97" s="282"/>
      <c r="DG97" s="282"/>
      <c r="DH97" s="282"/>
      <c r="DI97" s="282"/>
      <c r="DJ97" s="282"/>
      <c r="DK97" s="282"/>
      <c r="DL97" s="81"/>
      <c r="DM97" s="82"/>
      <c r="DN97" s="82"/>
      <c r="DO97" s="83"/>
      <c r="DP97" s="282"/>
      <c r="DQ97" s="282"/>
      <c r="DR97" s="282"/>
      <c r="DS97" s="282"/>
      <c r="DT97" s="63"/>
      <c r="DU97" s="63"/>
      <c r="DV97" s="63"/>
      <c r="DW97" s="63"/>
      <c r="DX97" s="63"/>
      <c r="DY97" s="63"/>
      <c r="DZ97" s="63"/>
      <c r="EA97" s="63"/>
      <c r="EB97" s="63"/>
      <c r="EC97" s="63"/>
      <c r="ED97" s="63"/>
      <c r="EE97" s="63"/>
      <c r="EF97" s="63"/>
      <c r="EG97" s="63"/>
      <c r="EH97" s="63"/>
      <c r="EI97" s="63"/>
      <c r="EJ97" s="63"/>
      <c r="EK97" s="63"/>
    </row>
    <row r="98" spans="1:181" ht="6" customHeight="1" x14ac:dyDescent="0.35">
      <c r="A98" s="170"/>
      <c r="B98" s="170"/>
      <c r="C98" s="170"/>
      <c r="D98" s="170"/>
      <c r="E98" s="178"/>
      <c r="F98" s="178"/>
      <c r="G98" s="178"/>
      <c r="H98" s="178"/>
      <c r="I98" s="72"/>
      <c r="J98" s="73"/>
      <c r="K98" s="73"/>
      <c r="L98" s="73"/>
      <c r="M98" s="74"/>
      <c r="N98" s="52"/>
      <c r="O98" s="53"/>
      <c r="P98" s="53"/>
      <c r="Q98" s="53"/>
      <c r="R98" s="172"/>
      <c r="S98" s="172"/>
      <c r="T98" s="116"/>
      <c r="U98" s="116"/>
      <c r="V98" s="116"/>
      <c r="W98" s="116"/>
      <c r="X98" s="116"/>
      <c r="Y98" s="172"/>
      <c r="Z98" s="172"/>
      <c r="AA98" s="119"/>
      <c r="AB98" s="119"/>
      <c r="AC98" s="119"/>
      <c r="AD98" s="119"/>
      <c r="AE98" s="119"/>
      <c r="AF98" s="54"/>
      <c r="AG98" s="54"/>
      <c r="AH98" s="54"/>
      <c r="AI98" s="54"/>
      <c r="AJ98" s="54"/>
      <c r="AK98" s="54"/>
      <c r="AL98" s="54"/>
      <c r="AM98" s="172"/>
      <c r="AN98" s="172"/>
      <c r="AO98" s="175"/>
      <c r="AP98" s="117"/>
      <c r="AQ98" s="117"/>
      <c r="AR98" s="117"/>
      <c r="AS98" s="129"/>
      <c r="BH98" s="87"/>
      <c r="BI98" s="88"/>
      <c r="BJ98" s="88"/>
      <c r="BK98" s="88"/>
      <c r="BL98" s="88"/>
      <c r="BM98" s="88"/>
      <c r="BN98" s="88"/>
      <c r="BO98" s="88"/>
      <c r="BP98" s="88"/>
      <c r="BQ98" s="88"/>
      <c r="BR98" s="88"/>
      <c r="BS98" s="88"/>
      <c r="BT98" s="88"/>
      <c r="BU98" s="88"/>
      <c r="BV98" s="88"/>
      <c r="BW98" s="88"/>
      <c r="BX98" s="88"/>
      <c r="BY98" s="88"/>
      <c r="BZ98" s="88"/>
      <c r="CA98" s="88"/>
      <c r="CB98" s="88"/>
      <c r="CC98" s="88"/>
      <c r="CD98" s="89"/>
      <c r="CF98" s="276" t="s">
        <v>163</v>
      </c>
      <c r="CG98" s="276"/>
      <c r="CH98" s="276"/>
      <c r="CI98" s="276"/>
      <c r="CJ98" s="276"/>
      <c r="CK98" s="276"/>
      <c r="CL98" s="276"/>
      <c r="CM98" s="180"/>
      <c r="CN98" s="181"/>
      <c r="CO98" s="181"/>
      <c r="CP98" s="181"/>
      <c r="CQ98" s="181"/>
      <c r="CR98" s="181"/>
      <c r="CS98" s="181"/>
      <c r="CT98" s="181"/>
      <c r="CU98" s="181"/>
      <c r="CV98" s="181"/>
      <c r="CW98" s="181"/>
      <c r="CX98" s="181"/>
      <c r="CY98" s="181"/>
      <c r="CZ98" s="181"/>
      <c r="DA98" s="181"/>
      <c r="DB98" s="181"/>
      <c r="DC98" s="181"/>
      <c r="DD98" s="181"/>
      <c r="DE98" s="181"/>
      <c r="DF98" s="181"/>
      <c r="DG98" s="181"/>
      <c r="DH98" s="181"/>
      <c r="DI98" s="181"/>
      <c r="DJ98" s="181"/>
      <c r="DK98" s="181"/>
      <c r="DL98" s="181"/>
      <c r="DM98" s="181"/>
      <c r="DN98" s="181"/>
      <c r="DO98" s="181"/>
      <c r="DP98" s="181"/>
      <c r="DQ98" s="181"/>
      <c r="DR98" s="181"/>
      <c r="DS98" s="182"/>
      <c r="DT98" s="63"/>
      <c r="DU98" s="63"/>
      <c r="DV98" s="63"/>
      <c r="DW98" s="63"/>
      <c r="DX98" s="63"/>
      <c r="DY98" s="63"/>
      <c r="DZ98" s="63"/>
      <c r="EA98" s="63"/>
      <c r="EB98" s="63"/>
      <c r="EC98" s="63"/>
      <c r="ED98" s="63"/>
      <c r="EE98" s="63"/>
      <c r="EF98" s="63"/>
      <c r="EG98" s="63"/>
      <c r="EH98" s="63"/>
      <c r="EI98" s="63"/>
      <c r="EJ98" s="63"/>
      <c r="EK98" s="63"/>
    </row>
    <row r="99" spans="1:181" ht="6" customHeight="1" x14ac:dyDescent="0.35">
      <c r="A99" s="170"/>
      <c r="B99" s="170"/>
      <c r="C99" s="170"/>
      <c r="D99" s="170"/>
      <c r="E99" s="178"/>
      <c r="F99" s="178"/>
      <c r="G99" s="178"/>
      <c r="H99" s="178"/>
      <c r="I99" s="75"/>
      <c r="J99" s="76"/>
      <c r="K99" s="76"/>
      <c r="L99" s="76"/>
      <c r="M99" s="77"/>
      <c r="N99" s="52"/>
      <c r="O99" s="53"/>
      <c r="P99" s="53"/>
      <c r="Q99" s="53"/>
      <c r="R99" s="172"/>
      <c r="S99" s="172"/>
      <c r="T99" s="116"/>
      <c r="U99" s="116"/>
      <c r="V99" s="116"/>
      <c r="W99" s="116"/>
      <c r="X99" s="116"/>
      <c r="Y99" s="172"/>
      <c r="Z99" s="172"/>
      <c r="AA99" s="119"/>
      <c r="AB99" s="119"/>
      <c r="AC99" s="119"/>
      <c r="AD99" s="119"/>
      <c r="AE99" s="119"/>
      <c r="AF99" s="54"/>
      <c r="AG99" s="54"/>
      <c r="AH99" s="54"/>
      <c r="AI99" s="54"/>
      <c r="AJ99" s="54"/>
      <c r="AK99" s="54"/>
      <c r="AL99" s="54"/>
      <c r="AM99" s="172"/>
      <c r="AN99" s="172"/>
      <c r="AO99" s="176"/>
      <c r="AP99" s="130"/>
      <c r="AQ99" s="130"/>
      <c r="AR99" s="130"/>
      <c r="AS99" s="131"/>
      <c r="BH99" s="90"/>
      <c r="BI99" s="91"/>
      <c r="BJ99" s="91"/>
      <c r="BK99" s="91"/>
      <c r="BL99" s="91"/>
      <c r="BM99" s="91"/>
      <c r="BN99" s="91"/>
      <c r="BO99" s="91"/>
      <c r="BP99" s="91"/>
      <c r="BQ99" s="91"/>
      <c r="BR99" s="91"/>
      <c r="BS99" s="91"/>
      <c r="BT99" s="91"/>
      <c r="BU99" s="91"/>
      <c r="BV99" s="91"/>
      <c r="BW99" s="91"/>
      <c r="BX99" s="91"/>
      <c r="BY99" s="91"/>
      <c r="BZ99" s="91"/>
      <c r="CA99" s="91"/>
      <c r="CB99" s="91"/>
      <c r="CC99" s="91"/>
      <c r="CD99" s="92"/>
      <c r="CF99" s="277"/>
      <c r="CG99" s="277"/>
      <c r="CH99" s="277"/>
      <c r="CI99" s="277"/>
      <c r="CJ99" s="277"/>
      <c r="CK99" s="277"/>
      <c r="CL99" s="277"/>
      <c r="CM99" s="81"/>
      <c r="CN99" s="82"/>
      <c r="CO99" s="82"/>
      <c r="CP99" s="82"/>
      <c r="CQ99" s="82"/>
      <c r="CR99" s="82"/>
      <c r="CS99" s="82"/>
      <c r="CT99" s="82"/>
      <c r="CU99" s="82"/>
      <c r="CV99" s="82"/>
      <c r="CW99" s="82"/>
      <c r="CX99" s="82"/>
      <c r="CY99" s="82"/>
      <c r="CZ99" s="82"/>
      <c r="DA99" s="82"/>
      <c r="DB99" s="82"/>
      <c r="DC99" s="82"/>
      <c r="DD99" s="82"/>
      <c r="DE99" s="82"/>
      <c r="DF99" s="82"/>
      <c r="DG99" s="82"/>
      <c r="DH99" s="82"/>
      <c r="DI99" s="82"/>
      <c r="DJ99" s="82"/>
      <c r="DK99" s="82"/>
      <c r="DL99" s="82"/>
      <c r="DM99" s="82"/>
      <c r="DN99" s="82"/>
      <c r="DO99" s="82"/>
      <c r="DP99" s="82"/>
      <c r="DQ99" s="82"/>
      <c r="DR99" s="82"/>
      <c r="DS99" s="83"/>
      <c r="DW99" s="63"/>
      <c r="DX99" s="63"/>
      <c r="DY99" s="63"/>
      <c r="DZ99" s="63"/>
      <c r="EA99" s="63"/>
      <c r="EB99" s="63"/>
      <c r="EC99" s="63"/>
      <c r="ED99" s="63"/>
      <c r="EE99" s="63"/>
      <c r="EF99" s="63"/>
      <c r="EG99" s="63"/>
      <c r="EH99" s="63"/>
      <c r="EI99" s="63"/>
      <c r="EJ99" s="63"/>
      <c r="EK99" s="63"/>
      <c r="EL99" s="63"/>
      <c r="EM99" s="63"/>
      <c r="EN99" s="63"/>
      <c r="EO99" s="63"/>
      <c r="EP99" s="63"/>
      <c r="EQ99" s="63"/>
      <c r="ER99" s="63"/>
      <c r="ES99" s="63"/>
      <c r="ET99" s="63"/>
      <c r="EU99" s="63"/>
      <c r="EV99" s="63"/>
      <c r="EW99" s="63"/>
      <c r="EX99" s="63"/>
      <c r="EY99" s="63"/>
      <c r="EZ99" s="63"/>
      <c r="FA99" s="63"/>
      <c r="FB99" s="63"/>
      <c r="FC99" s="63"/>
      <c r="FD99" s="63"/>
      <c r="FE99" s="63"/>
      <c r="FF99" s="63"/>
      <c r="FG99" s="63"/>
      <c r="FH99" s="63"/>
      <c r="FI99" s="63"/>
      <c r="FJ99" s="63"/>
      <c r="FK99" s="63"/>
      <c r="FL99" s="63"/>
      <c r="FM99" s="63"/>
      <c r="FN99" s="63"/>
      <c r="FO99" s="63"/>
      <c r="FP99" s="63"/>
      <c r="FQ99" s="63"/>
      <c r="FR99" s="63"/>
      <c r="FS99" s="63"/>
      <c r="FT99" s="63"/>
      <c r="FU99" s="63"/>
      <c r="FV99" s="63"/>
      <c r="FW99" s="63"/>
      <c r="FX99" s="63"/>
      <c r="FY99" s="63"/>
    </row>
    <row r="100" spans="1:181" ht="6" customHeight="1" x14ac:dyDescent="0.35">
      <c r="DW100" s="63"/>
      <c r="DX100" s="63"/>
      <c r="DY100" s="63"/>
      <c r="DZ100" s="63"/>
      <c r="EA100" s="63"/>
      <c r="EB100" s="63"/>
      <c r="EC100" s="63"/>
      <c r="ED100" s="63"/>
      <c r="EE100" s="63"/>
      <c r="EF100" s="63"/>
      <c r="EG100" s="63"/>
      <c r="EH100" s="63"/>
      <c r="EI100" s="63"/>
      <c r="EJ100" s="63"/>
      <c r="EK100" s="63"/>
      <c r="EL100" s="63"/>
      <c r="EM100" s="63"/>
      <c r="EN100" s="63"/>
      <c r="EO100" s="63"/>
      <c r="EP100" s="63"/>
      <c r="EQ100" s="63"/>
      <c r="ER100" s="63"/>
      <c r="ES100" s="63"/>
      <c r="ET100" s="63"/>
      <c r="EU100" s="63"/>
      <c r="EV100" s="63"/>
      <c r="EW100" s="63"/>
      <c r="EX100" s="63"/>
      <c r="EY100" s="63"/>
      <c r="EZ100" s="63"/>
      <c r="FA100" s="63"/>
      <c r="FB100" s="63"/>
      <c r="FC100" s="63"/>
      <c r="FD100" s="63"/>
      <c r="FE100" s="63"/>
      <c r="FF100" s="63"/>
      <c r="FG100" s="63"/>
      <c r="FH100" s="63"/>
      <c r="FI100" s="63"/>
      <c r="FJ100" s="63"/>
      <c r="FK100" s="63"/>
      <c r="FL100" s="63"/>
      <c r="FM100" s="63"/>
      <c r="FN100" s="63"/>
      <c r="FO100" s="63"/>
      <c r="FP100" s="63"/>
      <c r="FQ100" s="63"/>
      <c r="FR100" s="63"/>
      <c r="FS100" s="63"/>
      <c r="FT100" s="63"/>
      <c r="FU100" s="63"/>
      <c r="FV100" s="63"/>
      <c r="FW100" s="63"/>
      <c r="FX100" s="63"/>
      <c r="FY100" s="63"/>
    </row>
  </sheetData>
  <mergeCells count="538">
    <mergeCell ref="DH96:DI97"/>
    <mergeCell ref="DJ96:DK97"/>
    <mergeCell ref="DL96:DO97"/>
    <mergeCell ref="DP96:DS97"/>
    <mergeCell ref="AU5:AY6"/>
    <mergeCell ref="AU7:AY10"/>
    <mergeCell ref="AZ5:BC6"/>
    <mergeCell ref="AZ7:BC10"/>
    <mergeCell ref="BV5:BY6"/>
    <mergeCell ref="BV7:BY10"/>
    <mergeCell ref="BZ5:CD6"/>
    <mergeCell ref="BZ7:CD10"/>
    <mergeCell ref="DB73:DG76"/>
    <mergeCell ref="CZ57:DA58"/>
    <mergeCell ref="DB57:DC58"/>
    <mergeCell ref="DD57:DE58"/>
    <mergeCell ref="DF57:DG58"/>
    <mergeCell ref="CF63:CI64"/>
    <mergeCell ref="CJ63:DA64"/>
    <mergeCell ref="DB63:DG66"/>
    <mergeCell ref="BM19:BU20"/>
    <mergeCell ref="CJ67:CU68"/>
    <mergeCell ref="CV67:CW68"/>
    <mergeCell ref="CJ77:CU78"/>
    <mergeCell ref="CV47:CW48"/>
    <mergeCell ref="AU11:BF13"/>
    <mergeCell ref="DB96:DC97"/>
    <mergeCell ref="DD96:DE97"/>
    <mergeCell ref="DF96:DG97"/>
    <mergeCell ref="CV77:CW78"/>
    <mergeCell ref="CX47:CY48"/>
    <mergeCell ref="CZ47:DA48"/>
    <mergeCell ref="DB47:DC48"/>
    <mergeCell ref="DD47:DE48"/>
    <mergeCell ref="DF47:DG48"/>
    <mergeCell ref="CJ47:CU48"/>
    <mergeCell ref="CJ57:CU58"/>
    <mergeCell ref="CV57:CW58"/>
    <mergeCell ref="DB53:DG56"/>
    <mergeCell ref="DD67:DE68"/>
    <mergeCell ref="DF67:DG68"/>
    <mergeCell ref="CF73:CI74"/>
    <mergeCell ref="CJ73:DA74"/>
    <mergeCell ref="BM44:CD46"/>
    <mergeCell ref="DH53:DK56"/>
    <mergeCell ref="DL53:DO55"/>
    <mergeCell ref="CF55:CI56"/>
    <mergeCell ref="CJ55:DA56"/>
    <mergeCell ref="DN56:DO58"/>
    <mergeCell ref="CF57:CI62"/>
    <mergeCell ref="DH57:DI58"/>
    <mergeCell ref="DJ57:DK58"/>
    <mergeCell ref="DL57:DM58"/>
    <mergeCell ref="CJ59:DS60"/>
    <mergeCell ref="CJ61:DS62"/>
    <mergeCell ref="CX57:CY58"/>
    <mergeCell ref="DP53:DS55"/>
    <mergeCell ref="DP56:DS58"/>
    <mergeCell ref="CF53:CI54"/>
    <mergeCell ref="CJ53:DA54"/>
    <mergeCell ref="R91:S92"/>
    <mergeCell ref="T91:U92"/>
    <mergeCell ref="V91:W92"/>
    <mergeCell ref="X91:Y92"/>
    <mergeCell ref="Z91:AA92"/>
    <mergeCell ref="AB91:AC92"/>
    <mergeCell ref="AD91:AE92"/>
    <mergeCell ref="AF91:AG92"/>
    <mergeCell ref="DH73:DK76"/>
    <mergeCell ref="DH77:DI78"/>
    <mergeCell ref="DJ77:DK78"/>
    <mergeCell ref="CJ79:DS80"/>
    <mergeCell ref="CJ81:DS82"/>
    <mergeCell ref="DP73:DS75"/>
    <mergeCell ref="CF75:CI76"/>
    <mergeCell ref="CJ75:DA76"/>
    <mergeCell ref="DN76:DO78"/>
    <mergeCell ref="DP76:DS78"/>
    <mergeCell ref="CF77:CI82"/>
    <mergeCell ref="CX77:CY78"/>
    <mergeCell ref="CZ77:DA78"/>
    <mergeCell ref="DB77:DC78"/>
    <mergeCell ref="DD77:DE78"/>
    <mergeCell ref="DF77:DG78"/>
    <mergeCell ref="AD61:AE62"/>
    <mergeCell ref="AF61:AG62"/>
    <mergeCell ref="E45:AL46"/>
    <mergeCell ref="R51:S52"/>
    <mergeCell ref="T51:U52"/>
    <mergeCell ref="V51:W52"/>
    <mergeCell ref="X51:Y52"/>
    <mergeCell ref="Z51:AA52"/>
    <mergeCell ref="AB51:AC52"/>
    <mergeCell ref="AD51:AE52"/>
    <mergeCell ref="AF51:AG52"/>
    <mergeCell ref="P11:Q12"/>
    <mergeCell ref="E11:O12"/>
    <mergeCell ref="E21:O22"/>
    <mergeCell ref="P21:Q22"/>
    <mergeCell ref="V31:W32"/>
    <mergeCell ref="X31:Y32"/>
    <mergeCell ref="Z31:AA32"/>
    <mergeCell ref="AB31:AC32"/>
    <mergeCell ref="AD31:AE32"/>
    <mergeCell ref="E23:AL24"/>
    <mergeCell ref="E25:AL26"/>
    <mergeCell ref="CF98:CL99"/>
    <mergeCell ref="CM98:DS99"/>
    <mergeCell ref="CF85:CI86"/>
    <mergeCell ref="CJ85:DA86"/>
    <mergeCell ref="CF87:CI92"/>
    <mergeCell ref="CF83:CI84"/>
    <mergeCell ref="DH83:DK86"/>
    <mergeCell ref="CJ89:DS90"/>
    <mergeCell ref="CJ91:DS92"/>
    <mergeCell ref="CJ83:DA84"/>
    <mergeCell ref="DB83:DG86"/>
    <mergeCell ref="CX94:CY95"/>
    <mergeCell ref="CU96:CW97"/>
    <mergeCell ref="CU94:CW95"/>
    <mergeCell ref="CZ94:DA95"/>
    <mergeCell ref="DB94:DC95"/>
    <mergeCell ref="DD94:DE95"/>
    <mergeCell ref="DF94:DG95"/>
    <mergeCell ref="DH94:DI95"/>
    <mergeCell ref="DJ94:DK95"/>
    <mergeCell ref="CX96:CY97"/>
    <mergeCell ref="DL94:DO95"/>
    <mergeCell ref="DP94:DS95"/>
    <mergeCell ref="CZ96:DA97"/>
    <mergeCell ref="DL73:DO75"/>
    <mergeCell ref="DL77:DM78"/>
    <mergeCell ref="AM93:AO96"/>
    <mergeCell ref="CF41:DA42"/>
    <mergeCell ref="CJ43:DA44"/>
    <mergeCell ref="CJ45:DA46"/>
    <mergeCell ref="AU82:BO83"/>
    <mergeCell ref="AU84:BO85"/>
    <mergeCell ref="AU86:BO87"/>
    <mergeCell ref="AU88:BO89"/>
    <mergeCell ref="AU90:BO91"/>
    <mergeCell ref="CJ65:DA66"/>
    <mergeCell ref="CJ69:DS70"/>
    <mergeCell ref="CJ71:DS72"/>
    <mergeCell ref="DL47:DM48"/>
    <mergeCell ref="DH43:DK46"/>
    <mergeCell ref="CJ49:DS50"/>
    <mergeCell ref="CJ51:DS52"/>
    <mergeCell ref="DL43:DO45"/>
    <mergeCell ref="DH41:DK42"/>
    <mergeCell ref="CF65:CI66"/>
    <mergeCell ref="CF67:CI72"/>
    <mergeCell ref="AP53:AS56"/>
    <mergeCell ref="AM53:AO56"/>
    <mergeCell ref="BM52:CD53"/>
    <mergeCell ref="BD22:BO24"/>
    <mergeCell ref="BP22:BQ24"/>
    <mergeCell ref="BD47:BL51"/>
    <mergeCell ref="AU52:BC53"/>
    <mergeCell ref="BD52:BL53"/>
    <mergeCell ref="AU44:BF46"/>
    <mergeCell ref="BG44:BH46"/>
    <mergeCell ref="BD25:BL29"/>
    <mergeCell ref="AU21:BC26"/>
    <mergeCell ref="BR22:BU24"/>
    <mergeCell ref="BM41:BU42"/>
    <mergeCell ref="BV41:CD42"/>
    <mergeCell ref="BV27:CD32"/>
    <mergeCell ref="BV21:CD26"/>
    <mergeCell ref="AM43:AO46"/>
    <mergeCell ref="BI44:BL46"/>
    <mergeCell ref="AU47:BC51"/>
    <mergeCell ref="AU36:BC40"/>
    <mergeCell ref="BD36:BL40"/>
    <mergeCell ref="AU41:BC42"/>
    <mergeCell ref="BD41:BL42"/>
    <mergeCell ref="BM36:BU40"/>
    <mergeCell ref="BM47:CD51"/>
    <mergeCell ref="DB41:DG42"/>
    <mergeCell ref="DB43:DG46"/>
    <mergeCell ref="DN46:DO48"/>
    <mergeCell ref="DP46:DS48"/>
    <mergeCell ref="DP43:DS45"/>
    <mergeCell ref="DP41:DS42"/>
    <mergeCell ref="DL41:DO42"/>
    <mergeCell ref="DH47:DI48"/>
    <mergeCell ref="DJ47:DK48"/>
    <mergeCell ref="AB87:AG90"/>
    <mergeCell ref="E89:AA90"/>
    <mergeCell ref="E37:AA38"/>
    <mergeCell ref="AB37:AG40"/>
    <mergeCell ref="E39:AA40"/>
    <mergeCell ref="E47:AA48"/>
    <mergeCell ref="AB47:AG50"/>
    <mergeCell ref="E49:AA50"/>
    <mergeCell ref="E57:AA58"/>
    <mergeCell ref="AB57:AG60"/>
    <mergeCell ref="E59:AA60"/>
    <mergeCell ref="R41:S42"/>
    <mergeCell ref="T41:U42"/>
    <mergeCell ref="V41:W42"/>
    <mergeCell ref="X41:Y42"/>
    <mergeCell ref="Z41:AA42"/>
    <mergeCell ref="AB41:AC42"/>
    <mergeCell ref="AD41:AE42"/>
    <mergeCell ref="AF41:AG42"/>
    <mergeCell ref="R81:S82"/>
    <mergeCell ref="T81:U82"/>
    <mergeCell ref="V81:W82"/>
    <mergeCell ref="X81:Y82"/>
    <mergeCell ref="Z81:AA82"/>
    <mergeCell ref="AB5:AG6"/>
    <mergeCell ref="AB7:AG10"/>
    <mergeCell ref="AB17:AG20"/>
    <mergeCell ref="AB27:AG30"/>
    <mergeCell ref="AB67:AG70"/>
    <mergeCell ref="BM25:BU29"/>
    <mergeCell ref="BD30:BL31"/>
    <mergeCell ref="BM30:BU31"/>
    <mergeCell ref="AU27:BC32"/>
    <mergeCell ref="AJ60:AM62"/>
    <mergeCell ref="AN60:AO62"/>
    <mergeCell ref="AJ50:AM52"/>
    <mergeCell ref="AN50:AO52"/>
    <mergeCell ref="AP50:AS52"/>
    <mergeCell ref="E53:AL54"/>
    <mergeCell ref="BD5:BU10"/>
    <mergeCell ref="AN10:AO12"/>
    <mergeCell ref="AP10:AS12"/>
    <mergeCell ref="AJ10:AM12"/>
    <mergeCell ref="AH10:AI12"/>
    <mergeCell ref="AP20:AS22"/>
    <mergeCell ref="E19:AA20"/>
    <mergeCell ref="AJ20:AM22"/>
    <mergeCell ref="AN20:AO22"/>
    <mergeCell ref="BR1:DH3"/>
    <mergeCell ref="G1:BI3"/>
    <mergeCell ref="DI1:DS3"/>
    <mergeCell ref="BJ1:BQ3"/>
    <mergeCell ref="E17:AA18"/>
    <mergeCell ref="AP5:AS6"/>
    <mergeCell ref="AP7:AS9"/>
    <mergeCell ref="AL5:AO6"/>
    <mergeCell ref="AL7:AO9"/>
    <mergeCell ref="BM14:BU18"/>
    <mergeCell ref="A1:F3"/>
    <mergeCell ref="AH5:AK6"/>
    <mergeCell ref="AH7:AK9"/>
    <mergeCell ref="A7:D8"/>
    <mergeCell ref="A9:D10"/>
    <mergeCell ref="A5:AA6"/>
    <mergeCell ref="E7:AA8"/>
    <mergeCell ref="E9:AA10"/>
    <mergeCell ref="A17:D18"/>
    <mergeCell ref="AH17:AK19"/>
    <mergeCell ref="AL17:AO19"/>
    <mergeCell ref="AP17:AS19"/>
    <mergeCell ref="A19:D20"/>
    <mergeCell ref="AH20:AI22"/>
    <mergeCell ref="A77:D78"/>
    <mergeCell ref="A67:D68"/>
    <mergeCell ref="A49:D50"/>
    <mergeCell ref="AH50:AI52"/>
    <mergeCell ref="AP40:AS42"/>
    <mergeCell ref="E33:AL34"/>
    <mergeCell ref="A47:D48"/>
    <mergeCell ref="AH47:AK49"/>
    <mergeCell ref="AL47:AO49"/>
    <mergeCell ref="AP47:AS49"/>
    <mergeCell ref="A37:D38"/>
    <mergeCell ref="AH37:AK39"/>
    <mergeCell ref="AL37:AO39"/>
    <mergeCell ref="AP37:AS39"/>
    <mergeCell ref="A39:D40"/>
    <mergeCell ref="AH40:AI42"/>
    <mergeCell ref="AJ40:AM42"/>
    <mergeCell ref="AN40:AO42"/>
    <mergeCell ref="AP57:AS59"/>
    <mergeCell ref="A59:D60"/>
    <mergeCell ref="AH60:AI62"/>
    <mergeCell ref="A61:D66"/>
    <mergeCell ref="A57:D58"/>
    <mergeCell ref="AP60:AS62"/>
    <mergeCell ref="BG11:BH13"/>
    <mergeCell ref="AU33:BF35"/>
    <mergeCell ref="BG33:BH35"/>
    <mergeCell ref="BM11:BX13"/>
    <mergeCell ref="BY11:BZ13"/>
    <mergeCell ref="BM33:BX35"/>
    <mergeCell ref="BY33:BZ35"/>
    <mergeCell ref="CA33:CD35"/>
    <mergeCell ref="AM23:AO26"/>
    <mergeCell ref="AM33:AO36"/>
    <mergeCell ref="BV19:CD20"/>
    <mergeCell ref="BI11:BL13"/>
    <mergeCell ref="AU19:BC20"/>
    <mergeCell ref="BD19:BL20"/>
    <mergeCell ref="CA11:CD13"/>
    <mergeCell ref="AU14:BC18"/>
    <mergeCell ref="BD14:BL18"/>
    <mergeCell ref="BV14:CD18"/>
    <mergeCell ref="BV36:CD40"/>
    <mergeCell ref="AP23:AS26"/>
    <mergeCell ref="CF43:CI44"/>
    <mergeCell ref="CF45:CI46"/>
    <mergeCell ref="CF47:CI52"/>
    <mergeCell ref="BI33:BL35"/>
    <mergeCell ref="R11:S12"/>
    <mergeCell ref="AD21:AE22"/>
    <mergeCell ref="AF21:AG22"/>
    <mergeCell ref="R31:S32"/>
    <mergeCell ref="T31:U32"/>
    <mergeCell ref="AM13:AO16"/>
    <mergeCell ref="AF11:AG12"/>
    <mergeCell ref="AD11:AE12"/>
    <mergeCell ref="AB11:AC12"/>
    <mergeCell ref="Z11:AA12"/>
    <mergeCell ref="X11:Y12"/>
    <mergeCell ref="V11:W12"/>
    <mergeCell ref="T11:U12"/>
    <mergeCell ref="R21:S22"/>
    <mergeCell ref="T21:U22"/>
    <mergeCell ref="V21:W22"/>
    <mergeCell ref="X21:Y22"/>
    <mergeCell ref="Z21:AA22"/>
    <mergeCell ref="AB21:AC22"/>
    <mergeCell ref="AF31:AG32"/>
    <mergeCell ref="A27:D28"/>
    <mergeCell ref="AH27:AK29"/>
    <mergeCell ref="AL27:AO29"/>
    <mergeCell ref="AP27:AS29"/>
    <mergeCell ref="AH30:AI32"/>
    <mergeCell ref="AJ30:AM32"/>
    <mergeCell ref="AN30:AO32"/>
    <mergeCell ref="AP30:AS32"/>
    <mergeCell ref="A29:D30"/>
    <mergeCell ref="E27:AA28"/>
    <mergeCell ref="E29:AA30"/>
    <mergeCell ref="E31:O32"/>
    <mergeCell ref="P31:Q32"/>
    <mergeCell ref="DO11:DS12"/>
    <mergeCell ref="CF13:DN14"/>
    <mergeCell ref="DO13:DS14"/>
    <mergeCell ref="CF15:DN16"/>
    <mergeCell ref="DO15:DS16"/>
    <mergeCell ref="CF17:DN18"/>
    <mergeCell ref="DO17:DS18"/>
    <mergeCell ref="DO5:DS6"/>
    <mergeCell ref="CF5:DN6"/>
    <mergeCell ref="CF7:DN8"/>
    <mergeCell ref="DO7:DS8"/>
    <mergeCell ref="CF9:DN10"/>
    <mergeCell ref="DO9:DS10"/>
    <mergeCell ref="CF11:DN12"/>
    <mergeCell ref="DO20:DS21"/>
    <mergeCell ref="CF22:DN23"/>
    <mergeCell ref="DO22:DS23"/>
    <mergeCell ref="DO34:DS35"/>
    <mergeCell ref="CF36:DN37"/>
    <mergeCell ref="DO36:DS37"/>
    <mergeCell ref="CF38:DN39"/>
    <mergeCell ref="DO38:DS39"/>
    <mergeCell ref="DO24:DS25"/>
    <mergeCell ref="DO26:DS27"/>
    <mergeCell ref="DO28:DS29"/>
    <mergeCell ref="DO30:DS31"/>
    <mergeCell ref="CF32:DN33"/>
    <mergeCell ref="DO32:DS33"/>
    <mergeCell ref="CF34:DN35"/>
    <mergeCell ref="CF24:DN25"/>
    <mergeCell ref="CF26:DN27"/>
    <mergeCell ref="CF28:DN29"/>
    <mergeCell ref="CF30:DN31"/>
    <mergeCell ref="CF20:DN21"/>
    <mergeCell ref="A97:D99"/>
    <mergeCell ref="AN90:AO92"/>
    <mergeCell ref="AP90:AS92"/>
    <mergeCell ref="E93:AL94"/>
    <mergeCell ref="A87:D88"/>
    <mergeCell ref="AH87:AK89"/>
    <mergeCell ref="A89:D90"/>
    <mergeCell ref="AH90:AI92"/>
    <mergeCell ref="AJ90:AM92"/>
    <mergeCell ref="AL87:AO89"/>
    <mergeCell ref="AP87:AS89"/>
    <mergeCell ref="AM97:AN99"/>
    <mergeCell ref="AO97:AS99"/>
    <mergeCell ref="E97:H99"/>
    <mergeCell ref="I97:M99"/>
    <mergeCell ref="R97:S99"/>
    <mergeCell ref="T97:X99"/>
    <mergeCell ref="Y97:Z99"/>
    <mergeCell ref="AA97:AE99"/>
    <mergeCell ref="AP93:AS96"/>
    <mergeCell ref="E95:AL96"/>
    <mergeCell ref="E91:O92"/>
    <mergeCell ref="P91:Q92"/>
    <mergeCell ref="E87:AA88"/>
    <mergeCell ref="A81:D86"/>
    <mergeCell ref="A91:D96"/>
    <mergeCell ref="E13:AL14"/>
    <mergeCell ref="E15:AL16"/>
    <mergeCell ref="AP13:AS16"/>
    <mergeCell ref="A11:D16"/>
    <mergeCell ref="A21:D26"/>
    <mergeCell ref="A31:D36"/>
    <mergeCell ref="A41:D46"/>
    <mergeCell ref="A51:D56"/>
    <mergeCell ref="AH80:AI82"/>
    <mergeCell ref="AJ80:AM82"/>
    <mergeCell ref="AN80:AO82"/>
    <mergeCell ref="AP80:AS82"/>
    <mergeCell ref="AH77:AK79"/>
    <mergeCell ref="AL77:AO79"/>
    <mergeCell ref="AP77:AS79"/>
    <mergeCell ref="A79:D80"/>
    <mergeCell ref="AH57:AK59"/>
    <mergeCell ref="AL57:AO59"/>
    <mergeCell ref="AP33:AS36"/>
    <mergeCell ref="E35:AL36"/>
    <mergeCell ref="E43:AL44"/>
    <mergeCell ref="AP43:AS46"/>
    <mergeCell ref="A71:D76"/>
    <mergeCell ref="AL67:AO69"/>
    <mergeCell ref="AP67:AS69"/>
    <mergeCell ref="A69:D70"/>
    <mergeCell ref="AH70:AI72"/>
    <mergeCell ref="AJ70:AM72"/>
    <mergeCell ref="AN70:AO72"/>
    <mergeCell ref="AP70:AS72"/>
    <mergeCell ref="E67:AA68"/>
    <mergeCell ref="E69:AA70"/>
    <mergeCell ref="AH67:AK69"/>
    <mergeCell ref="R71:S72"/>
    <mergeCell ref="T71:U72"/>
    <mergeCell ref="V71:W72"/>
    <mergeCell ref="X71:Y72"/>
    <mergeCell ref="Z71:AA72"/>
    <mergeCell ref="AB71:AC72"/>
    <mergeCell ref="AD71:AE72"/>
    <mergeCell ref="AF71:AG72"/>
    <mergeCell ref="AM73:AO76"/>
    <mergeCell ref="E83:AL84"/>
    <mergeCell ref="AP83:AS86"/>
    <mergeCell ref="E85:AL86"/>
    <mergeCell ref="E73:AL74"/>
    <mergeCell ref="AP73:AS76"/>
    <mergeCell ref="E75:AL76"/>
    <mergeCell ref="E55:AL56"/>
    <mergeCell ref="E63:AL64"/>
    <mergeCell ref="AP63:AS66"/>
    <mergeCell ref="E65:AL66"/>
    <mergeCell ref="E77:AA78"/>
    <mergeCell ref="AB77:AG80"/>
    <mergeCell ref="E79:AA80"/>
    <mergeCell ref="AM63:AO66"/>
    <mergeCell ref="AM83:AO86"/>
    <mergeCell ref="AB81:AC82"/>
    <mergeCell ref="AD81:AE82"/>
    <mergeCell ref="AF81:AG82"/>
    <mergeCell ref="R61:S62"/>
    <mergeCell ref="T61:U62"/>
    <mergeCell ref="V61:W62"/>
    <mergeCell ref="X61:Y62"/>
    <mergeCell ref="Z61:AA62"/>
    <mergeCell ref="AB61:AC62"/>
    <mergeCell ref="DH67:DI68"/>
    <mergeCell ref="DJ67:DK68"/>
    <mergeCell ref="CX67:CY68"/>
    <mergeCell ref="CZ67:DA68"/>
    <mergeCell ref="DB67:DC68"/>
    <mergeCell ref="DL63:DO65"/>
    <mergeCell ref="DP63:DS65"/>
    <mergeCell ref="DN66:DO68"/>
    <mergeCell ref="DP66:DS68"/>
    <mergeCell ref="DH63:DK66"/>
    <mergeCell ref="DL67:DM68"/>
    <mergeCell ref="BP80:BT81"/>
    <mergeCell ref="BU80:BY81"/>
    <mergeCell ref="AU67:CD68"/>
    <mergeCell ref="AU69:CD70"/>
    <mergeCell ref="AU71:CD72"/>
    <mergeCell ref="BZ74:CD75"/>
    <mergeCell ref="AU55:CD56"/>
    <mergeCell ref="AU57:CD58"/>
    <mergeCell ref="AU59:CD60"/>
    <mergeCell ref="AU61:CD62"/>
    <mergeCell ref="AU63:CD64"/>
    <mergeCell ref="AU65:CD66"/>
    <mergeCell ref="AU74:BA75"/>
    <mergeCell ref="BU74:BY75"/>
    <mergeCell ref="BP74:BT75"/>
    <mergeCell ref="BB74:BO75"/>
    <mergeCell ref="AU76:BO77"/>
    <mergeCell ref="AU78:BO79"/>
    <mergeCell ref="AU80:BO81"/>
    <mergeCell ref="BH98:CD99"/>
    <mergeCell ref="BZ88:CD89"/>
    <mergeCell ref="BZ90:CD91"/>
    <mergeCell ref="AU93:BG94"/>
    <mergeCell ref="BH93:CD94"/>
    <mergeCell ref="BZ82:CD83"/>
    <mergeCell ref="BZ84:CD85"/>
    <mergeCell ref="BZ86:CD87"/>
    <mergeCell ref="BP82:BT83"/>
    <mergeCell ref="BU82:BY83"/>
    <mergeCell ref="BP84:BT85"/>
    <mergeCell ref="BU84:BY85"/>
    <mergeCell ref="BP86:BT87"/>
    <mergeCell ref="BU86:BY87"/>
    <mergeCell ref="BP88:BT89"/>
    <mergeCell ref="BU88:BY89"/>
    <mergeCell ref="BP90:BT91"/>
    <mergeCell ref="BU90:BY91"/>
    <mergeCell ref="CF94:CT95"/>
    <mergeCell ref="CF96:CT97"/>
    <mergeCell ref="DP83:DS86"/>
    <mergeCell ref="CJ87:DS88"/>
    <mergeCell ref="DL83:DO86"/>
    <mergeCell ref="E41:O42"/>
    <mergeCell ref="P41:Q42"/>
    <mergeCell ref="E51:O52"/>
    <mergeCell ref="P51:Q52"/>
    <mergeCell ref="E61:O62"/>
    <mergeCell ref="P61:Q62"/>
    <mergeCell ref="E71:O72"/>
    <mergeCell ref="P71:Q72"/>
    <mergeCell ref="E81:O82"/>
    <mergeCell ref="P81:Q82"/>
    <mergeCell ref="AU96:BG97"/>
    <mergeCell ref="BH96:CD97"/>
    <mergeCell ref="BZ76:CD77"/>
    <mergeCell ref="BZ78:CD79"/>
    <mergeCell ref="BZ80:CD81"/>
    <mergeCell ref="BU76:BY77"/>
    <mergeCell ref="BP76:BT77"/>
    <mergeCell ref="BP78:BT79"/>
    <mergeCell ref="BU78:BY79"/>
  </mergeCells>
  <dataValidations count="6">
    <dataValidation type="whole" allowBlank="1" showInputMessage="1" showErrorMessage="1" promptTitle="Beginning Language" prompt="You start with 6 Ranks in your beginning Languages." sqref="DH83:DK86" xr:uid="{614EA4CD-D1A6-4533-B273-C910B224FD33}">
      <formula1>6</formula1>
      <formula2>12</formula2>
    </dataValidation>
    <dataValidation type="whole" allowBlank="1" showInputMessage="1" showErrorMessage="1" errorTitle="Invalid Rank" error="Skill Ranks are between 0 and 12." sqref="AH7:AK9 AH17:AK19 AH27:AK29 AH37:AK39 AH47:AK49 AH57:AK59 AH67:AK69 AH77:AK79 AH87:AK89 DH43:DK46 DH53:DK56 DH63:DK66 DH73:DK76" xr:uid="{A622FBDE-0B88-43EC-960F-6A897AE9BC42}">
      <formula1>0</formula1>
      <formula2>12</formula2>
    </dataValidation>
    <dataValidation type="whole" allowBlank="1" showInputMessage="1" showErrorMessage="1" errorTitle="Invalid Value" error="Enhance Edges can only be 1 or 0" promptTitle="Enhance" prompt="Adding Enchance increases the cost by 3, but reduces the Target Number by 1 for the Duration Parameter." sqref="AB11:AC12 AB21:AC22 AB31:AC32 AB41:AC42 AB51:AC52 AB61:AC62 AB71:AC72 AB81:AC82 AB91:AC92 DH47:DI48 DH57:DI58 DH67:DI68 DH77:DI78" xr:uid="{C91A8E89-6CC6-458E-89F1-6AB897E355A2}">
      <formula1>0</formula1>
      <formula2>1</formula2>
    </dataValidation>
    <dataValidation type="whole" allowBlank="1" showInputMessage="1" showErrorMessage="1" errorTitle="Invalid Boost Value" error="Boosts can be between 0 and 4." promptTitle="Boost Parameter" prompt="Boosts reduce the Difficulty of checks.  This is based on the Potency Parameter but the maximum is 4, and so 1 Boost equals 2, and 4 equals 8 for Cost calculations.  Please refer to the Potency Parameter table for costs." sqref="X11:Y12 X21:Y22 X31:Y32 X41:Y42 X51:Y52 X61:Y62 X71:Y72 X81:Y82 X91:Y92 DD47:DE48 DD57:DE58 DD67:DE68 DD77:DE78" xr:uid="{506D4196-8A1E-4D8E-A366-A0119860CB5A}">
      <formula1>0</formula1>
      <formula2>4</formula2>
    </dataValidation>
    <dataValidation type="whole" allowBlank="1" showInputMessage="1" showErrorMessage="1" errorTitle="Invalid Bolster Value" error="Bolster values are between 0 and 6." promptTitle="Bolster Parameter" prompt="Bolster refers to the amount of times you may reroll dice during the check.  The Potency Parameter table is used for Cost calculations, and so 1 Bolster equals 2 Potency." sqref="Z11:AA12 Z21:AA22 Z31:AA32 Z41:AA42 Z51:AA52 Z61:AA62 Z71:AA72 Z81:AA82 Z91:AA92 DF47:DG48 DF67:DG68 DF57:DG58 DF77:DG78" xr:uid="{DDB6EAA7-5BC5-4983-8698-E2EF6A586CBF}">
      <formula1>0</formula1>
      <formula2>6</formula2>
    </dataValidation>
    <dataValidation type="whole" allowBlank="1" showInputMessage="1" showErrorMessage="1" errorTitle="Invalid Sleek Value" error="Valid values are between -12 and 12, having a positive number largers than Bulk is wasted and will result in errors in Bulk calculations." promptTitle="Sleek/Bulky Parameter" prompt="Sleek refers to the reduction of Bulk if the value is greater than 0.  A negative value is considered to be Bulky, the opposite of Sleek, and raises the Bulk accordingly." sqref="AD11:AE12 AD21:AE22 AD31:AE32 AD41:AE42 AD51:AE52 AD61:AE62 AD71:AE72 AD81:AE82 AD91:AE92 DJ47:DK48 DJ57:DK58 DJ67:DK68 DJ77:DK78" xr:uid="{6C381ED4-3464-4467-881A-BBA65BFA9A8A}">
      <formula1>-12</formula1>
      <formula2>12</formula2>
    </dataValidation>
  </dataValidations>
  <pageMargins left="0.25" right="0.25" top="0.25" bottom="0.25" header="0" footer="0"/>
  <pageSetup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promptTitle="Select Umbrella" prompt="Select the Umbrella Skill from the Dropdown List." xr:uid="{882474AE-5ADC-4E8C-A377-B0A27E38DBC0}">
          <x14:formula1>
            <xm:f>'Skill Calcs'!$F$2:$F$19</xm:f>
          </x14:formula1>
          <xm:sqref>E9:AA10 E19:AA20 E29:AA30 E39:AA40 E49:AA50 E59:AA60 E69:AA70 E79:AA80 E89:AA90 CJ75:DA76 CJ65:DA66 CJ55:DA56 CJ45:DA46</xm:sqref>
        </x14:dataValidation>
        <x14:dataValidation type="list" allowBlank="1" showDropDown="1" showInputMessage="1" showErrorMessage="1" errorTitle="Invalid Value" error="Valid values are between 0 and 12" promptTitle="Potency" prompt="The Edge's Potency costs 1/3 of the value.  For weapons this is the Base Damage.  For Armor, this is the Armor Rating (the number subtracted from all Wounds." xr:uid="{5E76A5B7-7BDA-41C5-95ED-32F05091EEED}">
          <x14:formula1>
            <xm:f>Parameters!$A$33:$A$45</xm:f>
          </x14:formula1>
          <xm:sqref>P11:Q12 P21:Q22 P31:Q32 P41:Q42 P51:Q52 P61:Q62 P71:Q72 P81:Q82 P91:Q92 CV47:CW48 CV57:CW58 CV67:CW68 CV77:CW78</xm:sqref>
        </x14:dataValidation>
        <x14:dataValidation type="list" allowBlank="1" showDropDown="1" showInputMessage="1" showErrorMessage="1" errorTitle="Invalid Value" error="Refer to the Area/Range Parameter table for valid numbers." promptTitle="Area Parameter" prompt="Area that this Edge affects.  This costs 1/3 the Value.  Refer to the Area/Range parameter table for definition and valid values." xr:uid="{C4855A6A-B9D4-49C1-8982-801D4CFC6D62}">
          <x14:formula1>
            <xm:f>Parameters!$A$2:$A$14</xm:f>
          </x14:formula1>
          <xm:sqref>R11:S12 R21:S22 R31:S32 R41:S42 R51:S52 R61:S62 R71:S72 R81:S82 R91:S92 CX47:CY48 CX57:CY58 CX67:CY68 CX77:CY78</xm:sqref>
        </x14:dataValidation>
        <x14:dataValidation type="list" allowBlank="1" showDropDown="1" showInputMessage="1" showErrorMessage="1" errorTitle="Invalid Range Value" error="Please refer to the Area/Range Parameter Table for valid values." promptTitle="Range Parameter" prompt="The Range of the Edge, defines the Maximum distance away that the Edge can affect.  Please refer to the Area/Range Parameter table for more information." xr:uid="{ECD46943-1DD9-4848-9154-3C8C2A0B8CCF}">
          <x14:formula1>
            <xm:f>Parameters!$A$2:$A$14</xm:f>
          </x14:formula1>
          <xm:sqref>T11:U12 T21:U22 T31:U32 T41:U42 T51:U52 T61:U62 T71:U72 T81:U82 T91:U92 CZ47:DA48 CZ57:DA58 CZ67:DA68 CZ77:DA78</xm:sqref>
        </x14:dataValidation>
        <x14:dataValidation type="list" allowBlank="1" showDropDown="1" showInputMessage="1" showErrorMessage="1" errorTitle="Invalid Duration" error="Please refer to the Duration parameter table for valid values." promptTitle="Duration Parameter" prompt="Duration is used for effects of the Edge, this includes, Boosts, Bolsters, Enhances, and any Advantage or Disadvantage that is deemed appropriate.  The beginning of the Duration is when it is Activated, so either a command word, or simply weilding it." xr:uid="{F463E591-057C-4D04-B815-8916A3FE192A}">
          <x14:formula1>
            <xm:f>Parameters!$A$17:$A$29</xm:f>
          </x14:formula1>
          <xm:sqref>V11:W12 V21:W22 V31:W32 V41:W42 V51:W52 V61:W62 V71:W72 V81:W82 V91:W92 DB47:DC48 DB57:DC58 DB67:DC68 DB77:DC78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1EE79-B52D-4A04-91C7-8C08CF69874F}">
  <dimension ref="A1:R19"/>
  <sheetViews>
    <sheetView showGridLines="0" showRowColHeaders="0" workbookViewId="0">
      <pane xSplit="1" ySplit="1" topLeftCell="B2" activePane="bottomRight" state="frozen"/>
      <selection pane="topRight" activeCell="B1" sqref="B1"/>
      <selection pane="bottomLeft" activeCell="A3" sqref="A3"/>
      <selection pane="bottomRight" activeCell="O10" sqref="O10"/>
    </sheetView>
  </sheetViews>
  <sheetFormatPr defaultRowHeight="14.5" x14ac:dyDescent="0.35"/>
  <cols>
    <col min="1" max="1" width="2.75" bestFit="1" customWidth="1"/>
    <col min="2" max="2" width="5.1640625" bestFit="1" customWidth="1"/>
    <col min="3" max="3" width="5.25" bestFit="1" customWidth="1"/>
    <col min="4" max="4" width="12.4140625" bestFit="1" customWidth="1"/>
    <col min="5" max="5" width="1.75" bestFit="1" customWidth="1"/>
    <col min="6" max="6" width="15.4140625" customWidth="1"/>
    <col min="7" max="7" width="8.25" customWidth="1"/>
    <col min="8" max="8" width="1.75" bestFit="1" customWidth="1"/>
    <col min="9" max="9" width="3.33203125" customWidth="1"/>
    <col min="10" max="10" width="6.33203125" customWidth="1"/>
    <col min="11" max="11" width="7.25" bestFit="1" customWidth="1"/>
    <col min="12" max="12" width="5.83203125" customWidth="1"/>
    <col min="13" max="13" width="8" customWidth="1"/>
    <col min="14" max="14" width="6.33203125" customWidth="1"/>
    <col min="15" max="16" width="7.75" customWidth="1"/>
    <col min="17" max="17" width="10.33203125" customWidth="1"/>
    <col min="18" max="18" width="9.83203125" customWidth="1"/>
  </cols>
  <sheetData>
    <row r="1" spans="1:18" x14ac:dyDescent="0.35">
      <c r="A1" t="s">
        <v>66</v>
      </c>
      <c r="B1" t="s">
        <v>68</v>
      </c>
      <c r="C1" t="s">
        <v>205</v>
      </c>
      <c r="D1" t="s">
        <v>142</v>
      </c>
      <c r="F1" s="1" t="s">
        <v>53</v>
      </c>
      <c r="G1" s="1" t="s">
        <v>143</v>
      </c>
      <c r="J1" t="s">
        <v>18</v>
      </c>
      <c r="K1" t="s">
        <v>68</v>
      </c>
      <c r="L1" t="s">
        <v>69</v>
      </c>
      <c r="M1" t="s">
        <v>70</v>
      </c>
      <c r="N1" t="s">
        <v>25</v>
      </c>
      <c r="O1" t="s">
        <v>144</v>
      </c>
      <c r="P1" t="s">
        <v>145</v>
      </c>
      <c r="Q1" t="s">
        <v>173</v>
      </c>
      <c r="R1" t="s">
        <v>174</v>
      </c>
    </row>
    <row r="2" spans="1:18" x14ac:dyDescent="0.35">
      <c r="A2" s="62">
        <v>0</v>
      </c>
      <c r="B2" s="62">
        <v>0</v>
      </c>
      <c r="C2" s="62">
        <v>0</v>
      </c>
      <c r="D2" s="62"/>
      <c r="F2" t="s">
        <v>50</v>
      </c>
      <c r="G2" s="62" t="s">
        <v>3</v>
      </c>
      <c r="J2" s="62" t="s">
        <v>177</v>
      </c>
      <c r="K2" s="62">
        <f>A_SR_1</f>
        <v>6</v>
      </c>
      <c r="L2" s="62" cm="1">
        <f t="array" ref="L2">INDEX('Tier Calcs'!$A$33:$N$46,O2,P2)</f>
        <v>2</v>
      </c>
      <c r="M2" s="62">
        <f>IF(A_TN_1&gt;0,A_TN_1,9)</f>
        <v>8</v>
      </c>
      <c r="N2" s="62">
        <f t="shared" ref="N2:N15" si="0">_xlfn.IFNA(LOOKUP(K2,$A$3:$C$14,$C$3:$C$14),"")</f>
        <v>21</v>
      </c>
      <c r="O2" s="62">
        <f>MATCH(K2,'Tier Calcs'!$A$33:$A$46,0)</f>
        <v>8</v>
      </c>
      <c r="P2" s="62">
        <f>MATCH(M2,'Tier Calcs'!$A$33:$N$33,0)</f>
        <v>10</v>
      </c>
      <c r="Q2" s="65"/>
      <c r="R2" s="65"/>
    </row>
    <row r="3" spans="1:18" x14ac:dyDescent="0.35">
      <c r="A3" s="62">
        <v>1</v>
      </c>
      <c r="B3" s="62">
        <v>1</v>
      </c>
      <c r="C3" s="62">
        <f>B3+C2</f>
        <v>1</v>
      </c>
      <c r="D3" s="62" t="s">
        <v>130</v>
      </c>
      <c r="F3" t="s">
        <v>40</v>
      </c>
      <c r="G3" s="62" t="s">
        <v>5</v>
      </c>
      <c r="J3" s="62" t="s">
        <v>178</v>
      </c>
      <c r="K3" s="62">
        <f>A_SR_2</f>
        <v>3</v>
      </c>
      <c r="L3" s="66" cm="1">
        <f t="array" ref="L3">INDEX('Tier Calcs'!$A$33:$N$46,O3,P3)</f>
        <v>1</v>
      </c>
      <c r="M3" s="62">
        <f>IF(A_TN_2&gt;0,A_TN_2,9)</f>
        <v>8</v>
      </c>
      <c r="N3" s="62">
        <f t="shared" si="0"/>
        <v>6</v>
      </c>
      <c r="O3" s="62">
        <f>MATCH(K3,'Tier Calcs'!$A$33:$A$46,0)</f>
        <v>5</v>
      </c>
      <c r="P3" s="62">
        <f>MATCH(M3,'Tier Calcs'!$A$33:$N$33,0)</f>
        <v>10</v>
      </c>
      <c r="Q3" s="65"/>
      <c r="R3" s="65"/>
    </row>
    <row r="4" spans="1:18" x14ac:dyDescent="0.35">
      <c r="A4" s="62">
        <v>2</v>
      </c>
      <c r="B4" s="62">
        <v>2</v>
      </c>
      <c r="C4" s="62">
        <f t="shared" ref="C4:C14" si="1">B4+C3</f>
        <v>3</v>
      </c>
      <c r="D4" s="62" t="s">
        <v>131</v>
      </c>
      <c r="F4" t="s">
        <v>200</v>
      </c>
      <c r="G4" s="62" t="s">
        <v>3</v>
      </c>
      <c r="J4" s="62" t="s">
        <v>179</v>
      </c>
      <c r="K4" s="62">
        <f>A_SR_3</f>
        <v>4</v>
      </c>
      <c r="L4" s="66" cm="1">
        <f t="array" ref="L4">INDEX('Tier Calcs'!$A$33:$N$46,O4,P4)</f>
        <v>1</v>
      </c>
      <c r="M4" s="62">
        <f>IF(A_TN_3&gt;0,A_TN_3,9)</f>
        <v>8</v>
      </c>
      <c r="N4" s="62">
        <f t="shared" si="0"/>
        <v>10</v>
      </c>
      <c r="O4" s="62">
        <f>MATCH(K4,'Tier Calcs'!$A$33:$A$46,0)</f>
        <v>6</v>
      </c>
      <c r="P4" s="62">
        <f>MATCH(M4,'Tier Calcs'!$A$33:$N$33,0)</f>
        <v>10</v>
      </c>
      <c r="Q4" s="65"/>
      <c r="R4" s="65"/>
    </row>
    <row r="5" spans="1:18" x14ac:dyDescent="0.35">
      <c r="A5" s="62">
        <v>3</v>
      </c>
      <c r="B5" s="62">
        <v>3</v>
      </c>
      <c r="C5" s="62">
        <f t="shared" si="1"/>
        <v>6</v>
      </c>
      <c r="D5" s="62" t="s">
        <v>132</v>
      </c>
      <c r="F5" t="s">
        <v>202</v>
      </c>
      <c r="G5" s="62" t="s">
        <v>3</v>
      </c>
      <c r="J5" s="62" t="s">
        <v>180</v>
      </c>
      <c r="K5" s="62">
        <f>A_SR_4</f>
        <v>6</v>
      </c>
      <c r="L5" s="66" cm="1">
        <f t="array" ref="L5">INDEX('Tier Calcs'!$A$33:$N$46,O5,P5)</f>
        <v>2</v>
      </c>
      <c r="M5" s="62">
        <f>IF(A_TN_4&gt;0,A_TN_4,9)</f>
        <v>9</v>
      </c>
      <c r="N5" s="62">
        <f t="shared" si="0"/>
        <v>21</v>
      </c>
      <c r="O5" s="62">
        <f>MATCH(K5,'Tier Calcs'!$A$33:$A$46,0)</f>
        <v>8</v>
      </c>
      <c r="P5" s="62">
        <f>MATCH(M5,'Tier Calcs'!$A$33:$N$33,0)</f>
        <v>11</v>
      </c>
      <c r="Q5" s="65"/>
      <c r="R5" s="65"/>
    </row>
    <row r="6" spans="1:18" x14ac:dyDescent="0.35">
      <c r="A6" s="62">
        <v>4</v>
      </c>
      <c r="B6" s="62">
        <v>4</v>
      </c>
      <c r="C6" s="62">
        <f t="shared" si="1"/>
        <v>10</v>
      </c>
      <c r="D6" s="62" t="s">
        <v>133</v>
      </c>
      <c r="F6" t="s">
        <v>201</v>
      </c>
      <c r="G6" s="62" t="s">
        <v>3</v>
      </c>
      <c r="J6" s="62" t="s">
        <v>181</v>
      </c>
      <c r="K6" s="62">
        <f>A_SR_5</f>
        <v>3</v>
      </c>
      <c r="L6" s="66" cm="1">
        <f t="array" ref="L6">INDEX('Tier Calcs'!$A$33:$N$46,O6,P6)</f>
        <v>1</v>
      </c>
      <c r="M6" s="62">
        <f>IF(A_TN_5&gt;0,A_TN_5,9)</f>
        <v>9</v>
      </c>
      <c r="N6" s="62">
        <f t="shared" si="0"/>
        <v>6</v>
      </c>
      <c r="O6" s="62">
        <f>MATCH(K6,'Tier Calcs'!$A$33:$A$46,0)</f>
        <v>5</v>
      </c>
      <c r="P6" s="62">
        <f>MATCH(M6,'Tier Calcs'!$A$33:$N$33,0)</f>
        <v>11</v>
      </c>
      <c r="Q6" s="65"/>
      <c r="R6" s="65"/>
    </row>
    <row r="7" spans="1:18" x14ac:dyDescent="0.35">
      <c r="A7" s="62">
        <v>5</v>
      </c>
      <c r="B7" s="62">
        <v>5</v>
      </c>
      <c r="C7" s="62">
        <f t="shared" si="1"/>
        <v>15</v>
      </c>
      <c r="D7" s="62" t="s">
        <v>134</v>
      </c>
      <c r="F7" t="s">
        <v>204</v>
      </c>
      <c r="G7" s="62" t="s">
        <v>3</v>
      </c>
      <c r="J7" s="62" t="s">
        <v>182</v>
      </c>
      <c r="K7" s="62">
        <f>A_SR_6</f>
        <v>4</v>
      </c>
      <c r="L7" s="66" cm="1">
        <f t="array" ref="L7">INDEX('Tier Calcs'!$A$33:$N$46,O7,P7)</f>
        <v>1</v>
      </c>
      <c r="M7" s="62">
        <f>IF(A_TN_6&gt;0,A_TN_6,9)</f>
        <v>9</v>
      </c>
      <c r="N7" s="62">
        <f t="shared" si="0"/>
        <v>10</v>
      </c>
      <c r="O7" s="62">
        <f>MATCH(K7,'Tier Calcs'!$A$33:$A$46,0)</f>
        <v>6</v>
      </c>
      <c r="P7" s="62">
        <f>MATCH(M7,'Tier Calcs'!$A$33:$N$33,0)</f>
        <v>11</v>
      </c>
      <c r="Q7" s="65"/>
      <c r="R7" s="65"/>
    </row>
    <row r="8" spans="1:18" x14ac:dyDescent="0.35">
      <c r="A8" s="62">
        <v>6</v>
      </c>
      <c r="B8" s="62">
        <v>6</v>
      </c>
      <c r="C8" s="62">
        <f t="shared" si="1"/>
        <v>21</v>
      </c>
      <c r="D8" s="62" t="s">
        <v>135</v>
      </c>
      <c r="F8" t="s">
        <v>203</v>
      </c>
      <c r="G8" s="62" t="s">
        <v>3</v>
      </c>
      <c r="J8" s="62" t="s">
        <v>183</v>
      </c>
      <c r="K8" s="62">
        <f>A_SR_7</f>
        <v>4</v>
      </c>
      <c r="L8" s="66" cm="1">
        <f t="array" ref="L8">INDEX('Tier Calcs'!$A$33:$N$46,O8,P8)</f>
        <v>1</v>
      </c>
      <c r="M8" s="62">
        <f>IF(A_TN_7&gt;0,A_TN_7,9)</f>
        <v>9</v>
      </c>
      <c r="N8" s="62">
        <f t="shared" si="0"/>
        <v>10</v>
      </c>
      <c r="O8" s="62">
        <f>MATCH(K8,'Tier Calcs'!$A$33:$A$46,0)</f>
        <v>6</v>
      </c>
      <c r="P8" s="62">
        <f>MATCH(M8,'Tier Calcs'!$A$33:$N$33,0)</f>
        <v>11</v>
      </c>
      <c r="Q8" s="65"/>
      <c r="R8" s="65"/>
    </row>
    <row r="9" spans="1:18" x14ac:dyDescent="0.35">
      <c r="A9" s="62">
        <v>7</v>
      </c>
      <c r="B9" s="62">
        <v>7</v>
      </c>
      <c r="C9" s="62">
        <f t="shared" si="1"/>
        <v>28</v>
      </c>
      <c r="D9" s="62" t="s">
        <v>136</v>
      </c>
      <c r="F9" t="s">
        <v>52</v>
      </c>
      <c r="G9" s="62" t="s">
        <v>3</v>
      </c>
      <c r="J9" s="62" t="s">
        <v>184</v>
      </c>
      <c r="K9" s="62">
        <f>A_SR_8</f>
        <v>3</v>
      </c>
      <c r="L9" s="66" cm="1">
        <f t="array" ref="L9">INDEX('Tier Calcs'!$A$33:$N$46,O9,P9)</f>
        <v>1</v>
      </c>
      <c r="M9" s="62">
        <f>IF(A_TN_8&gt;0,A_TN_8,9)</f>
        <v>9</v>
      </c>
      <c r="N9" s="62">
        <f t="shared" si="0"/>
        <v>6</v>
      </c>
      <c r="O9" s="62">
        <f>MATCH(K9,'Tier Calcs'!$A$33:$A$46,0)</f>
        <v>5</v>
      </c>
      <c r="P9" s="62">
        <f>MATCH(M9,'Tier Calcs'!$A$33:$N$33,0)</f>
        <v>11</v>
      </c>
      <c r="Q9" s="65"/>
      <c r="R9" s="65"/>
    </row>
    <row r="10" spans="1:18" x14ac:dyDescent="0.35">
      <c r="A10" s="62">
        <v>8</v>
      </c>
      <c r="B10" s="62">
        <v>8</v>
      </c>
      <c r="C10" s="62">
        <f t="shared" si="1"/>
        <v>36</v>
      </c>
      <c r="D10" s="62" t="s">
        <v>137</v>
      </c>
      <c r="F10" t="s">
        <v>51</v>
      </c>
      <c r="G10" s="62" t="s">
        <v>3</v>
      </c>
      <c r="J10" s="62" t="s">
        <v>185</v>
      </c>
      <c r="K10" s="62">
        <f>A_SR_9</f>
        <v>2</v>
      </c>
      <c r="L10" s="66" cm="1">
        <f t="array" ref="L10">INDEX('Tier Calcs'!$A$33:$N$46,O10,P10)</f>
        <v>0</v>
      </c>
      <c r="M10" s="62">
        <f>IF(A_TN_9&gt;0,A_TN_9,9)</f>
        <v>9</v>
      </c>
      <c r="N10" s="62">
        <f t="shared" si="0"/>
        <v>3</v>
      </c>
      <c r="O10" s="62">
        <f>MATCH(K10,'Tier Calcs'!$A$33:$A$46,0)</f>
        <v>4</v>
      </c>
      <c r="P10" s="62">
        <f>MATCH(M10,'Tier Calcs'!$A$33:$N$33,0)</f>
        <v>11</v>
      </c>
      <c r="Q10" s="65"/>
      <c r="R10" s="65"/>
    </row>
    <row r="11" spans="1:18" x14ac:dyDescent="0.35">
      <c r="A11" s="62">
        <v>9</v>
      </c>
      <c r="B11" s="62">
        <v>9</v>
      </c>
      <c r="C11" s="62">
        <f t="shared" si="1"/>
        <v>45</v>
      </c>
      <c r="D11" s="62" t="s">
        <v>138</v>
      </c>
      <c r="F11" t="s">
        <v>41</v>
      </c>
      <c r="G11" s="62" t="s">
        <v>5</v>
      </c>
      <c r="J11" s="62" t="s">
        <v>186</v>
      </c>
      <c r="K11" s="62">
        <f>O_SR_1</f>
        <v>3</v>
      </c>
      <c r="L11" s="66" cm="1">
        <f t="array" ref="L11">INDEX('Tier Calcs'!$A$33:$N$46,O11,P11)</f>
        <v>1</v>
      </c>
      <c r="M11" s="62">
        <f>IF(O_TN_1,O_TN_1,9)</f>
        <v>9</v>
      </c>
      <c r="N11" s="62">
        <f t="shared" si="0"/>
        <v>6</v>
      </c>
      <c r="O11" s="62">
        <f>MATCH(K11,'Tier Calcs'!$A$33:$A$46,0)</f>
        <v>5</v>
      </c>
      <c r="P11" s="62">
        <f>MATCH(M11,'Tier Calcs'!$A$33:$N$33,0)</f>
        <v>11</v>
      </c>
      <c r="Q11" s="65"/>
      <c r="R11" s="65"/>
    </row>
    <row r="12" spans="1:18" x14ac:dyDescent="0.35">
      <c r="A12" s="62">
        <v>10</v>
      </c>
      <c r="B12" s="62">
        <v>10</v>
      </c>
      <c r="C12" s="62">
        <f t="shared" si="1"/>
        <v>55</v>
      </c>
      <c r="D12" s="62" t="s">
        <v>139</v>
      </c>
      <c r="F12" t="s">
        <v>42</v>
      </c>
      <c r="G12" s="62" t="s">
        <v>5</v>
      </c>
      <c r="J12" s="62" t="s">
        <v>187</v>
      </c>
      <c r="K12" s="62">
        <f>O_SR_2</f>
        <v>4</v>
      </c>
      <c r="L12" s="66" cm="1">
        <f t="array" ref="L12">INDEX('Tier Calcs'!$A$33:$N$46,O12,P12)</f>
        <v>1</v>
      </c>
      <c r="M12" s="62">
        <f>IF(O_TN_2,O_TN_2,9)</f>
        <v>8</v>
      </c>
      <c r="N12" s="62">
        <f t="shared" si="0"/>
        <v>10</v>
      </c>
      <c r="O12" s="62">
        <f>MATCH(K12,'Tier Calcs'!$A$33:$A$46,0)</f>
        <v>6</v>
      </c>
      <c r="P12" s="62">
        <f>MATCH(M12,'Tier Calcs'!$A$33:$N$33,0)</f>
        <v>10</v>
      </c>
      <c r="Q12" s="65"/>
      <c r="R12" s="65"/>
    </row>
    <row r="13" spans="1:18" x14ac:dyDescent="0.35">
      <c r="A13" s="62">
        <v>11</v>
      </c>
      <c r="B13" s="62">
        <v>11</v>
      </c>
      <c r="C13" s="62">
        <f t="shared" si="1"/>
        <v>66</v>
      </c>
      <c r="D13" s="62" t="s">
        <v>140</v>
      </c>
      <c r="F13" t="s">
        <v>43</v>
      </c>
      <c r="G13" s="62" t="s">
        <v>5</v>
      </c>
      <c r="J13" s="62" t="s">
        <v>188</v>
      </c>
      <c r="K13" s="62">
        <f>O_SR_3</f>
        <v>3</v>
      </c>
      <c r="L13" s="66" cm="1">
        <f t="array" ref="L13">INDEX('Tier Calcs'!$A$33:$N$46,O13,P13)</f>
        <v>1</v>
      </c>
      <c r="M13" s="62">
        <f>IF(O_TN_3,O_TN_3,9)</f>
        <v>8</v>
      </c>
      <c r="N13" s="62">
        <f t="shared" si="0"/>
        <v>6</v>
      </c>
      <c r="O13" s="62">
        <f>MATCH(K13,'Tier Calcs'!$A$33:$A$46,0)</f>
        <v>5</v>
      </c>
      <c r="P13" s="62">
        <f>MATCH(M13,'Tier Calcs'!$A$33:$N$33,0)</f>
        <v>10</v>
      </c>
      <c r="Q13" s="65"/>
      <c r="R13" s="65"/>
    </row>
    <row r="14" spans="1:18" x14ac:dyDescent="0.35">
      <c r="A14" s="62">
        <v>12</v>
      </c>
      <c r="B14" s="62">
        <v>12</v>
      </c>
      <c r="C14" s="62">
        <f t="shared" si="1"/>
        <v>78</v>
      </c>
      <c r="D14" s="62" t="s">
        <v>141</v>
      </c>
      <c r="F14" t="s">
        <v>44</v>
      </c>
      <c r="G14" s="62" t="s">
        <v>5</v>
      </c>
      <c r="J14" s="62" t="s">
        <v>189</v>
      </c>
      <c r="K14" s="62">
        <f>O_SR_4</f>
        <v>3</v>
      </c>
      <c r="L14" s="66" cm="1">
        <f t="array" ref="L14">INDEX('Tier Calcs'!$A$33:$N$46,O14,P14)</f>
        <v>1</v>
      </c>
      <c r="M14" s="62">
        <f>IF(O_TN_4,O_TN_4,9)</f>
        <v>9</v>
      </c>
      <c r="N14" s="62">
        <f t="shared" si="0"/>
        <v>6</v>
      </c>
      <c r="O14" s="62">
        <f>MATCH(K14,'Tier Calcs'!$A$33:$A$46,0)</f>
        <v>5</v>
      </c>
      <c r="P14" s="62">
        <f>MATCH(M14,'Tier Calcs'!$A$33:$N$33,0)</f>
        <v>11</v>
      </c>
      <c r="Q14" s="65"/>
      <c r="R14" s="65"/>
    </row>
    <row r="15" spans="1:18" x14ac:dyDescent="0.35">
      <c r="F15" t="s">
        <v>45</v>
      </c>
      <c r="G15" s="62" t="s">
        <v>5</v>
      </c>
      <c r="J15" s="62" t="s">
        <v>190</v>
      </c>
      <c r="K15" s="62">
        <f>Lang_SR</f>
        <v>6</v>
      </c>
      <c r="L15" s="66" cm="1">
        <f t="array" ref="L15">INDEX('Tier Calcs'!$A$33:$N$46,O15,P15)</f>
        <v>2</v>
      </c>
      <c r="M15" s="62">
        <f>IF(Lang_TN,Lang_TN,9)</f>
        <v>9</v>
      </c>
      <c r="N15" s="62">
        <f t="shared" si="0"/>
        <v>21</v>
      </c>
      <c r="O15" s="62">
        <f>MATCH(K15,'Tier Calcs'!$A$33:$A$46,0)</f>
        <v>8</v>
      </c>
      <c r="P15" s="62">
        <f>MATCH(M15,'Tier Calcs'!$A$33:$N$33,0)</f>
        <v>11</v>
      </c>
      <c r="Q15" s="65"/>
      <c r="R15">
        <v>-21</v>
      </c>
    </row>
    <row r="16" spans="1:18" x14ac:dyDescent="0.35">
      <c r="F16" t="s">
        <v>46</v>
      </c>
      <c r="G16" s="62" t="s">
        <v>5</v>
      </c>
      <c r="N16">
        <f>SUM(N2:N15)</f>
        <v>142</v>
      </c>
      <c r="Q16">
        <f>SUM(Q2:Q15)</f>
        <v>0</v>
      </c>
      <c r="R16">
        <f>SUM(R2:R15)</f>
        <v>-21</v>
      </c>
    </row>
    <row r="17" spans="6:14" x14ac:dyDescent="0.35">
      <c r="F17" t="s">
        <v>47</v>
      </c>
      <c r="G17" s="62" t="s">
        <v>5</v>
      </c>
      <c r="N17">
        <f>SUM(N16,Q16:R16)</f>
        <v>121</v>
      </c>
    </row>
    <row r="18" spans="6:14" x14ac:dyDescent="0.35">
      <c r="F18" t="s">
        <v>48</v>
      </c>
      <c r="G18" s="62" t="s">
        <v>5</v>
      </c>
    </row>
    <row r="19" spans="6:14" x14ac:dyDescent="0.35">
      <c r="F19" t="s">
        <v>49</v>
      </c>
      <c r="G19" s="62" t="s">
        <v>5</v>
      </c>
    </row>
  </sheetData>
  <sheetProtection algorithmName="SHA-512" hashValue="QNxtTdzO/GMvSvJC2QTBpBjv6bmmR6VRaqclOsH+9T8V7dm7CTMBcV+/kIIPtn3mb5wZrVCmLfLhN0NO3n8WcQ==" saltValue="Pjw/uCNNny8bvPaoctX6mw==" spinCount="100000" sheet="1" objects="1" scenarios="1"/>
  <phoneticPr fontId="22" type="noConversion"/>
  <pageMargins left="0.7" right="0.7" top="0.75" bottom="0.75" header="0.3" footer="0.3"/>
  <pageSetup orientation="portrait"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92656-D726-42B2-A0AE-0A1385581497}">
  <dimension ref="A1:M15"/>
  <sheetViews>
    <sheetView showGridLines="0" workbookViewId="0">
      <selection activeCell="J2" sqref="J2"/>
    </sheetView>
  </sheetViews>
  <sheetFormatPr defaultRowHeight="14.5" x14ac:dyDescent="0.35"/>
  <cols>
    <col min="1" max="1" width="7.58203125" customWidth="1"/>
    <col min="2" max="2" width="9.33203125" style="64" customWidth="1"/>
    <col min="3" max="3" width="6.4140625" style="64" customWidth="1"/>
    <col min="4" max="4" width="7.83203125" style="64" customWidth="1"/>
    <col min="5" max="5" width="9.9140625" style="64" customWidth="1"/>
    <col min="6" max="6" width="7.5" style="64" customWidth="1"/>
    <col min="7" max="7" width="8.75" style="64" customWidth="1"/>
    <col min="8" max="8" width="9.75" customWidth="1"/>
    <col min="9" max="9" width="7.25" customWidth="1"/>
    <col min="10" max="10" width="12.33203125" customWidth="1"/>
    <col min="11" max="11" width="14.83203125" customWidth="1"/>
    <col min="12" max="12" width="6.33203125" customWidth="1"/>
    <col min="13" max="13" width="6.4140625" customWidth="1"/>
  </cols>
  <sheetData>
    <row r="1" spans="1:13" x14ac:dyDescent="0.35">
      <c r="A1" t="s">
        <v>191</v>
      </c>
      <c r="B1" s="64" t="s">
        <v>106</v>
      </c>
      <c r="C1" s="64" t="s">
        <v>192</v>
      </c>
      <c r="D1" s="64" t="s">
        <v>193</v>
      </c>
      <c r="E1" s="64" t="s">
        <v>194</v>
      </c>
      <c r="F1" s="64" t="s">
        <v>195</v>
      </c>
      <c r="G1" s="64" t="s">
        <v>196</v>
      </c>
      <c r="H1" t="s">
        <v>197</v>
      </c>
      <c r="I1" t="s">
        <v>198</v>
      </c>
      <c r="J1" t="s">
        <v>111</v>
      </c>
      <c r="K1" t="s">
        <v>112</v>
      </c>
      <c r="L1" t="s">
        <v>25</v>
      </c>
      <c r="M1" t="s">
        <v>30</v>
      </c>
    </row>
    <row r="2" spans="1:13" x14ac:dyDescent="0.35">
      <c r="A2" t="s">
        <v>177</v>
      </c>
      <c r="B2" s="64">
        <f>A_Potency_1/3</f>
        <v>0</v>
      </c>
      <c r="C2" s="64">
        <f>A_Area_1/3</f>
        <v>0</v>
      </c>
      <c r="D2" s="64">
        <f>A_Range_1/3</f>
        <v>0</v>
      </c>
      <c r="E2" s="64">
        <f>A_Dura_1/3</f>
        <v>0</v>
      </c>
      <c r="F2" s="64">
        <f>_xlfn.XLOOKUP(A_Boost_1,Parameters!$C$33:$C$45,Parameters!$A$33:$A$45,0,0,2)/3</f>
        <v>0</v>
      </c>
      <c r="G2" s="64">
        <f>_xlfn.XLOOKUP(A_Bolster_1,Parameters!$C$33:$C$45,Parameters!$A$33:$A$45,0,0,2)/3</f>
        <v>0</v>
      </c>
      <c r="H2" s="64">
        <f>_xlfn.XLOOKUP(A_Enhance_1,Parameters!$C$33:$C$45,Parameters!$A$33:$A$45,0,0,2)</f>
        <v>0</v>
      </c>
      <c r="I2">
        <f>A_Sleek_1/3</f>
        <v>0</v>
      </c>
      <c r="J2" s="65"/>
      <c r="K2" s="65"/>
      <c r="L2" s="64">
        <f>IF(ROUNDDOWN(SUM(B2:I2),0)&gt;A_SR_1,ROUNDDOWN(SUM(B2:I2),0)-A_SR_1,0)</f>
        <v>0</v>
      </c>
      <c r="M2" s="64">
        <f>IF(ROUNDDOWN(SUM(B2:H2),0)-A_Sleek_1&lt;0,0,ROUNDDOWN(SUM(B2:H2),0)-A_Sleek_1)</f>
        <v>0</v>
      </c>
    </row>
    <row r="3" spans="1:13" x14ac:dyDescent="0.35">
      <c r="A3" t="s">
        <v>178</v>
      </c>
      <c r="B3" s="64">
        <f>A_Potency_2/3</f>
        <v>0</v>
      </c>
      <c r="C3" s="64">
        <f>A_Area_2/3</f>
        <v>0</v>
      </c>
      <c r="D3" s="64">
        <f>A_Range_2/3</f>
        <v>0</v>
      </c>
      <c r="E3" s="64">
        <f>A_Dura_2/3</f>
        <v>0</v>
      </c>
      <c r="F3" s="64">
        <f>_xlfn.XLOOKUP(A_Boost_2,Parameters!$C$33:$C$45,Parameters!$A$33:$A$45,0,0,2)/3</f>
        <v>0</v>
      </c>
      <c r="G3" s="64">
        <f>_xlfn.XLOOKUP(A_Bolster_2,Parameters!$C$33:$C$45,Parameters!$A$33:$A$45,0,0,2)/3</f>
        <v>0</v>
      </c>
      <c r="H3" s="64">
        <f>_xlfn.XLOOKUP(A_Enhance_2,Parameters!$C$33:$C$45,Parameters!$A$33:$A$45,0,0,2)</f>
        <v>0</v>
      </c>
      <c r="I3">
        <f>A_Sleek_2/3</f>
        <v>0</v>
      </c>
      <c r="J3" s="65"/>
      <c r="K3" s="65"/>
      <c r="L3" s="64">
        <f>IF(ROUNDDOWN(SUM(B3:I3),0)&gt;A_SR_1,ROUNDDOWN(SUM(B3:I3),0)-A_SR_2,0)</f>
        <v>0</v>
      </c>
      <c r="M3" s="64">
        <f>IF(ROUNDDOWN(SUM(B3:H3),0)-A_Sleek_2&lt;0,0,ROUNDDOWN(SUM(B3:H3),0)-A_Sleek_2)</f>
        <v>0</v>
      </c>
    </row>
    <row r="4" spans="1:13" x14ac:dyDescent="0.35">
      <c r="A4" t="s">
        <v>179</v>
      </c>
      <c r="B4" s="64">
        <f>A_Potency_3/3</f>
        <v>0</v>
      </c>
      <c r="C4" s="64">
        <f>A_Area_3/3</f>
        <v>0</v>
      </c>
      <c r="D4" s="64">
        <f>A_Range_3/3</f>
        <v>0</v>
      </c>
      <c r="E4" s="64">
        <f>A_Dura_3/3</f>
        <v>0</v>
      </c>
      <c r="F4" s="64">
        <f>_xlfn.XLOOKUP(A_Boost_3,Parameters!$C$33:$C$45,Parameters!$A$33:$A$45,0,0,2)/3</f>
        <v>0</v>
      </c>
      <c r="G4" s="64">
        <f>_xlfn.XLOOKUP(A_Bolster_3,Parameters!$C$33:$C$45,Parameters!$A$33:$A$45,0,0,2)/3</f>
        <v>0</v>
      </c>
      <c r="H4" s="64">
        <f>_xlfn.XLOOKUP(A_Enhance_3,Parameters!$C$33:$C$45,Parameters!$A$33:$A$45,0,0,2)</f>
        <v>0</v>
      </c>
      <c r="I4">
        <f>A_Sleek_3/3</f>
        <v>0</v>
      </c>
      <c r="J4" s="65"/>
      <c r="K4" s="65"/>
      <c r="L4" s="64">
        <f>IF(ROUNDDOWN(SUM(B4:I4),0)&gt;A_SR_1,ROUNDDOWN(SUM(B4:I4),0)-A_SR_3,0)</f>
        <v>0</v>
      </c>
      <c r="M4" s="64">
        <f>IF(ROUNDDOWN(SUM(B4:H4),0)-A_Sleek_3&lt;0,0,ROUNDDOWN(SUM(B4:H4),0)-A_Sleek_3)</f>
        <v>0</v>
      </c>
    </row>
    <row r="5" spans="1:13" x14ac:dyDescent="0.35">
      <c r="A5" t="s">
        <v>180</v>
      </c>
      <c r="B5" s="64">
        <f>A_Potency_4/3</f>
        <v>0</v>
      </c>
      <c r="C5" s="64">
        <f>A_Area_4/3</f>
        <v>0</v>
      </c>
      <c r="D5" s="64">
        <f>A_Range_4/3</f>
        <v>0</v>
      </c>
      <c r="E5" s="64">
        <f>A_Dura_4/3</f>
        <v>0</v>
      </c>
      <c r="F5" s="64">
        <f>_xlfn.XLOOKUP(A_Boost_4,Parameters!$C$33:$C$45,Parameters!$A$33:$A$45,0,0,2)/3</f>
        <v>0</v>
      </c>
      <c r="G5" s="64">
        <f>_xlfn.XLOOKUP(A_Bolster_4,Parameters!$C$33:$C$45,Parameters!$A$33:$A$45,0,0,2)/3</f>
        <v>0</v>
      </c>
      <c r="H5" s="64">
        <f>_xlfn.XLOOKUP(A_Enhance_4,Parameters!$C$33:$C$45,Parameters!$A$33:$A$45,0,0,2)</f>
        <v>0</v>
      </c>
      <c r="I5">
        <f>A_Sleek_4/3</f>
        <v>0</v>
      </c>
      <c r="J5" s="65"/>
      <c r="K5" s="65"/>
      <c r="L5" s="64">
        <f>IF(ROUNDDOWN(SUM(B5:I5),0)&gt;A_SR_1,ROUNDDOWN(SUM(B5:I5),0)-A_SR_4,0)</f>
        <v>0</v>
      </c>
      <c r="M5" s="64">
        <f>IF(ROUNDDOWN(SUM(B5:H5),0)-A_Sleek_4&lt;0,0,ROUNDDOWN(SUM(B5:H5),0)-A_Sleek_4)</f>
        <v>0</v>
      </c>
    </row>
    <row r="6" spans="1:13" x14ac:dyDescent="0.35">
      <c r="A6" t="s">
        <v>181</v>
      </c>
      <c r="B6" s="64">
        <f>A_Potency_5/3</f>
        <v>0</v>
      </c>
      <c r="C6" s="64">
        <f>A_Area_5/3</f>
        <v>0</v>
      </c>
      <c r="D6" s="64">
        <f>A_Range_5/3</f>
        <v>0</v>
      </c>
      <c r="E6" s="64">
        <f>A_Dura_5/3</f>
        <v>0</v>
      </c>
      <c r="F6" s="64">
        <f>_xlfn.XLOOKUP(A_Boost_5,Parameters!$C$33:$C$45,Parameters!$A$33:$A$45,0,0,2)/3</f>
        <v>0</v>
      </c>
      <c r="G6" s="64">
        <f>_xlfn.XLOOKUP(A_Bolster_5,Parameters!$C$33:$C$45,Parameters!$A$33:$A$45,0,0,2)/3</f>
        <v>0</v>
      </c>
      <c r="H6" s="64">
        <f>_xlfn.XLOOKUP(A_Enhance_5,Parameters!$C$33:$C$45,Parameters!$A$33:$A$45,0,0,2)</f>
        <v>0</v>
      </c>
      <c r="I6">
        <f>A_Sleek_5/3</f>
        <v>0</v>
      </c>
      <c r="J6" s="65"/>
      <c r="K6" s="65"/>
      <c r="L6" s="64">
        <f>IF(ROUNDDOWN(SUM(B6:I6),0)&gt;A_SR_1,ROUNDDOWN(SUM(B6:I6),0)-A_SR_5,0)</f>
        <v>0</v>
      </c>
      <c r="M6" s="64">
        <f>IF(ROUNDDOWN(SUM(B6:H6),0)-A_Sleek_5&lt;0,0,ROUNDDOWN(SUM(B6:H6),0)-A_Sleek_5)</f>
        <v>0</v>
      </c>
    </row>
    <row r="7" spans="1:13" x14ac:dyDescent="0.35">
      <c r="A7" t="s">
        <v>182</v>
      </c>
      <c r="B7" s="64">
        <f>A_Potency_6/3</f>
        <v>0</v>
      </c>
      <c r="C7" s="64">
        <f>A_Area_6/3</f>
        <v>0</v>
      </c>
      <c r="D7" s="64">
        <f>A_Range_6/3</f>
        <v>0</v>
      </c>
      <c r="E7" s="64">
        <f>A_Dura_6/3</f>
        <v>0</v>
      </c>
      <c r="F7" s="64">
        <f>_xlfn.XLOOKUP(A_Boost_6,Parameters!$C$33:$C$45,Parameters!$A$33:$A$45,0,0,2)/3</f>
        <v>0</v>
      </c>
      <c r="G7" s="64">
        <f>_xlfn.XLOOKUP(A_Bolster_6,Parameters!$C$33:$C$45,Parameters!$A$33:$A$45,0,0,2)/3</f>
        <v>0</v>
      </c>
      <c r="H7" s="64">
        <f>_xlfn.XLOOKUP(A_Enhance_6,Parameters!$C$33:$C$45,Parameters!$A$33:$A$45,0,0,2)</f>
        <v>0</v>
      </c>
      <c r="I7">
        <f>A_Sleek_6/3</f>
        <v>0</v>
      </c>
      <c r="J7" s="65"/>
      <c r="K7" s="65"/>
      <c r="L7" s="64">
        <f>IF(ROUNDDOWN(SUM(B7:I7),0)&gt;A_SR_1,ROUNDDOWN(SUM(B7:I7),0)-A_SR_6,0)</f>
        <v>0</v>
      </c>
      <c r="M7" s="64">
        <f>IF(ROUNDDOWN(SUM(B7:H7),0)-A_Sleek_6&lt;0,0,ROUNDDOWN(SUM(B7:H7),0)-A_Sleek_6)</f>
        <v>0</v>
      </c>
    </row>
    <row r="8" spans="1:13" x14ac:dyDescent="0.35">
      <c r="A8" t="s">
        <v>183</v>
      </c>
      <c r="B8" s="64">
        <f>A_Potency_7/3</f>
        <v>0</v>
      </c>
      <c r="C8" s="64">
        <f>A_Area_7/3</f>
        <v>0</v>
      </c>
      <c r="D8" s="64">
        <f>A_Range_7/3</f>
        <v>0</v>
      </c>
      <c r="E8" s="64">
        <f>A_Dura_7/3</f>
        <v>0</v>
      </c>
      <c r="F8" s="64">
        <f>_xlfn.XLOOKUP(A_Boost_7,Parameters!$C$33:$C$45,Parameters!$A$33:$A$45,0,0,2)/3</f>
        <v>0</v>
      </c>
      <c r="G8" s="64">
        <f>_xlfn.XLOOKUP(A_Bolster_7,Parameters!$C$33:$C$45,Parameters!$A$33:$A$45,0,0,2)/3</f>
        <v>0</v>
      </c>
      <c r="H8" s="64">
        <f>_xlfn.XLOOKUP(A_Enhance_7,Parameters!$C$33:$C$45,Parameters!$A$33:$A$45,0,0,2)</f>
        <v>0</v>
      </c>
      <c r="I8">
        <f>A_Sleek_7/3</f>
        <v>0</v>
      </c>
      <c r="J8" s="65"/>
      <c r="K8" s="65"/>
      <c r="L8" s="64">
        <f>IF(ROUNDDOWN(SUM(B8:I8),0)&gt;A_SR_1,ROUNDDOWN(SUM(B8:I8),0)-A_SR_7,0)</f>
        <v>0</v>
      </c>
      <c r="M8" s="64">
        <f>IF(ROUNDDOWN(SUM(B8:H8),0)-A_Sleek_7&lt;0,0,ROUNDDOWN(SUM(B8:H8),0)-A_Sleek_7)</f>
        <v>0</v>
      </c>
    </row>
    <row r="9" spans="1:13" x14ac:dyDescent="0.35">
      <c r="A9" t="s">
        <v>184</v>
      </c>
      <c r="B9" s="64">
        <f>A_Potency_8/3</f>
        <v>0</v>
      </c>
      <c r="C9" s="64">
        <f>A_Area_8/3</f>
        <v>0</v>
      </c>
      <c r="D9" s="64">
        <f>A_Range_8/3</f>
        <v>0</v>
      </c>
      <c r="E9" s="64">
        <f>A_Dura_8/3</f>
        <v>0</v>
      </c>
      <c r="F9" s="64">
        <f>_xlfn.XLOOKUP(A_Boost_8,Parameters!$C$33:$C$45,Parameters!$A$33:$A$45,0,0,2)/3</f>
        <v>0</v>
      </c>
      <c r="G9" s="64">
        <f>_xlfn.XLOOKUP(A_Bolster_8,Parameters!$C$33:$C$45,Parameters!$A$33:$A$45,0,0,2)/3</f>
        <v>0</v>
      </c>
      <c r="H9" s="64">
        <f>_xlfn.XLOOKUP(A_Enhance_8,Parameters!$C$33:$C$45,Parameters!$A$33:$A$45,0,0,2)</f>
        <v>0</v>
      </c>
      <c r="I9">
        <f>A_Sleek_8/3</f>
        <v>0</v>
      </c>
      <c r="J9" s="65"/>
      <c r="K9" s="65"/>
      <c r="L9" s="64">
        <f>IF(ROUNDDOWN(SUM(B9:I9),0)&gt;A_SR_1,ROUNDDOWN(SUM(B9:I9),0)-A_SR_8,0)</f>
        <v>0</v>
      </c>
      <c r="M9" s="64">
        <f>IF(ROUNDDOWN(SUM(B9:H9),0)-A_Sleek_8&lt;0,0,ROUNDDOWN(SUM(B9:H9),0)-A_Sleek_8)</f>
        <v>0</v>
      </c>
    </row>
    <row r="10" spans="1:13" x14ac:dyDescent="0.35">
      <c r="A10" t="s">
        <v>185</v>
      </c>
      <c r="B10" s="64">
        <f>A_Potency_9/3</f>
        <v>0</v>
      </c>
      <c r="C10" s="64">
        <f>A_Area_9/3</f>
        <v>0</v>
      </c>
      <c r="D10" s="64">
        <f>A_Range_9/3</f>
        <v>0</v>
      </c>
      <c r="E10" s="64">
        <f>A_Dura_9/3</f>
        <v>0</v>
      </c>
      <c r="F10" s="64">
        <f>_xlfn.XLOOKUP(A_Boost_9,Parameters!$C$33:$C$45,Parameters!$A$33:$A$45,0,0,2)/3</f>
        <v>0</v>
      </c>
      <c r="G10" s="64">
        <f>_xlfn.XLOOKUP(A_Bolster_9,Parameters!$C$33:$C$45,Parameters!$A$33:$A$45,0,0,2)/3</f>
        <v>0</v>
      </c>
      <c r="H10" s="64">
        <f>_xlfn.XLOOKUP(A_Enhance_9,Parameters!$C$33:$C$45,Parameters!$A$33:$A$45,0,0,2)</f>
        <v>0</v>
      </c>
      <c r="I10">
        <f>A_Sleek_9/3</f>
        <v>0</v>
      </c>
      <c r="J10" s="65"/>
      <c r="K10" s="65"/>
      <c r="L10" s="64">
        <f>IF(ROUNDDOWN(SUM(B10:I10),0)&gt;A_SR_1,ROUNDDOWN(SUM(B10:I10),0)-A_SR_9,0)</f>
        <v>0</v>
      </c>
      <c r="M10" s="64">
        <f>IF(ROUNDDOWN(SUM(B10:H10),0)-A_Sleek_9&lt;0,0,ROUNDDOWN(SUM(B10:H10),0)-A_Sleek_9)</f>
        <v>0</v>
      </c>
    </row>
    <row r="11" spans="1:13" x14ac:dyDescent="0.35">
      <c r="A11" t="s">
        <v>186</v>
      </c>
      <c r="B11" s="64">
        <f>O_Potency_1/3</f>
        <v>0</v>
      </c>
      <c r="C11" s="64">
        <f>O_Area_1/3</f>
        <v>0</v>
      </c>
      <c r="D11" s="64">
        <f>O_Range_1/3</f>
        <v>0</v>
      </c>
      <c r="E11" s="64">
        <f>O_Dura_1/3</f>
        <v>0</v>
      </c>
      <c r="F11" s="64">
        <f>_xlfn.XLOOKUP(O_Boost_1,Parameters!$C$33:$C$45,Parameters!$A$33:$A$45,0,0,2)/3</f>
        <v>0</v>
      </c>
      <c r="G11" s="64">
        <f>_xlfn.XLOOKUP(O_Bolster_1,Parameters!$C$33:$C$45,Parameters!$A$33:$A$45,0,0,2)/3</f>
        <v>0</v>
      </c>
      <c r="H11" s="64">
        <f>_xlfn.XLOOKUP(O_Enhance_1,Parameters!$C$33:$C$45,Parameters!$A$33:$A$45,0,0,2)</f>
        <v>0</v>
      </c>
      <c r="I11">
        <f>O_Sleek_1/3</f>
        <v>0</v>
      </c>
      <c r="J11" s="65"/>
      <c r="K11" s="65"/>
      <c r="L11" s="64">
        <f>IF(ROUNDDOWN(SUM(B11:I11),0)&gt;O_SR_1,ROUNDDOWN(SUM(B11:I11),0)-O_SR_1,0)</f>
        <v>0</v>
      </c>
      <c r="M11" s="64">
        <f>IF(ROUNDDOWN(SUM(B11:H11),0)-O_Sleek_1&lt;0,0,ROUNDDOWN(SUM(B11:H11),0)-O_Sleek_1)</f>
        <v>0</v>
      </c>
    </row>
    <row r="12" spans="1:13" x14ac:dyDescent="0.35">
      <c r="A12" t="s">
        <v>187</v>
      </c>
      <c r="B12" s="64">
        <f>O_Potency_2/3</f>
        <v>0</v>
      </c>
      <c r="C12" s="64">
        <f>O_Area_2/3</f>
        <v>0</v>
      </c>
      <c r="D12" s="64">
        <f>O_Range_2/3</f>
        <v>0</v>
      </c>
      <c r="E12" s="64">
        <f>O_Dura_2/3</f>
        <v>0</v>
      </c>
      <c r="F12" s="64">
        <f>_xlfn.XLOOKUP(O_Boost_2,Parameters!$C$33:$C$45,Parameters!$A$33:$A$45,0,0,2)/3</f>
        <v>0</v>
      </c>
      <c r="G12" s="64">
        <f>_xlfn.XLOOKUP(O_Bolster_2,Parameters!$C$33:$C$45,Parameters!$A$33:$A$45,0,0,2)/3</f>
        <v>0</v>
      </c>
      <c r="H12" s="64">
        <f>_xlfn.XLOOKUP(O_Enhance_2,Parameters!$C$33:$C$45,Parameters!$A$33:$A$45,0,0,2)</f>
        <v>0</v>
      </c>
      <c r="I12">
        <f>O_Sleek_2/3</f>
        <v>0</v>
      </c>
      <c r="J12" s="65"/>
      <c r="K12" s="65"/>
      <c r="L12" s="64">
        <f>IF(ROUNDDOWN(SUM(B12:I12),0)&gt;O_SR_2,ROUNDDOWN(SUM(B12:I12),0)-O_SR_2,0)</f>
        <v>0</v>
      </c>
      <c r="M12" s="64">
        <f>IF(ROUNDDOWN(SUM(B12:H12),0)-O_Sleek_2&lt;0,0,ROUNDDOWN(SUM(B12:H12),0)-O_Sleek_2)</f>
        <v>0</v>
      </c>
    </row>
    <row r="13" spans="1:13" x14ac:dyDescent="0.35">
      <c r="A13" t="s">
        <v>188</v>
      </c>
      <c r="B13" s="64">
        <f>O_Potency_3/3</f>
        <v>0</v>
      </c>
      <c r="C13" s="64">
        <f>O_Area_3/3</f>
        <v>0</v>
      </c>
      <c r="D13" s="64">
        <f>O_Range_3/3</f>
        <v>0</v>
      </c>
      <c r="E13" s="64">
        <f>O_Dura_3/3</f>
        <v>0</v>
      </c>
      <c r="F13" s="64">
        <f>_xlfn.XLOOKUP(O_Boost_3,Parameters!$C$33:$C$45,Parameters!$A$33:$A$45,0,0,2)/3</f>
        <v>0</v>
      </c>
      <c r="G13" s="64">
        <f>_xlfn.XLOOKUP(O_Bolster_3,Parameters!$C$33:$C$45,Parameters!$A$33:$A$45,0,0,2)/3</f>
        <v>0</v>
      </c>
      <c r="H13" s="64">
        <f>_xlfn.XLOOKUP(O_Enhance_3,Parameters!$C$33:$C$45,Parameters!$A$33:$A$45,0,0,2)</f>
        <v>0</v>
      </c>
      <c r="I13">
        <f>O_Sleek_3/3</f>
        <v>0</v>
      </c>
      <c r="J13" s="65"/>
      <c r="K13" s="65"/>
      <c r="L13" s="64">
        <f>IF(ROUNDDOWN(SUM(B13:I13),0)&gt;O_SR_3,ROUNDDOWN(SUM(B13:I13),0)-O_SR_3,0)</f>
        <v>0</v>
      </c>
      <c r="M13" s="64">
        <f>IF(ROUNDDOWN(SUM(B13:H13),0)-O_Sleek_3&lt;0,0,ROUNDDOWN(SUM(B13:H13),0)-O_Sleek_3)</f>
        <v>0</v>
      </c>
    </row>
    <row r="14" spans="1:13" x14ac:dyDescent="0.35">
      <c r="A14" t="s">
        <v>189</v>
      </c>
      <c r="B14" s="64">
        <f>O_Potency_4/3</f>
        <v>0</v>
      </c>
      <c r="C14" s="64">
        <f>O_Area_4/3</f>
        <v>0</v>
      </c>
      <c r="D14" s="64">
        <f>O_Range_4/3</f>
        <v>0</v>
      </c>
      <c r="E14" s="64">
        <f>O_Dura_4/3</f>
        <v>0</v>
      </c>
      <c r="F14" s="64">
        <f>_xlfn.XLOOKUP(O_Boost_4,Parameters!$C$33:$C$45,Parameters!$A$33:$A$45,0,0,2)/3</f>
        <v>0</v>
      </c>
      <c r="G14" s="64">
        <f>_xlfn.XLOOKUP(O_Bolster_4,Parameters!$C$33:$C$45,Parameters!$A$33:$A$45,0,0,2)/3</f>
        <v>0</v>
      </c>
      <c r="H14" s="64">
        <f>_xlfn.XLOOKUP(O_Enhance_4,Parameters!$C$33:$C$45,Parameters!$A$33:$A$45,0,0,2)</f>
        <v>0</v>
      </c>
      <c r="I14">
        <f>O_Sleek_4/3</f>
        <v>0</v>
      </c>
      <c r="J14" s="65"/>
      <c r="K14" s="65"/>
      <c r="L14" s="64">
        <f>IF(ROUNDDOWN(SUM(B14:I14),0)&gt;O_SR_4,ROUNDDOWN(SUM(B14:I14),0)-O_SR_4,0)</f>
        <v>0</v>
      </c>
      <c r="M14" s="64">
        <f>IF(ROUNDDOWN(SUM(B14:H14),0)-O_Sleek_4&lt;0,0,ROUNDDOWN(SUM(B14:H14),0)-O_Sleek_4)</f>
        <v>0</v>
      </c>
    </row>
    <row r="15" spans="1:13" x14ac:dyDescent="0.35">
      <c r="K15" t="s">
        <v>199</v>
      </c>
      <c r="L15" s="64">
        <f>SUM(L2:L14)</f>
        <v>0</v>
      </c>
    </row>
  </sheetData>
  <sheetProtection algorithmName="SHA-512" hashValue="JU+sYtaw4Ql7589VTG+bvRdQXF2z2oYzNXVaThmLL05eIJ1v/UPdZuaT1hcSdjDuDbOwrkXBvaKITK8/lxp8SQ==" saltValue="0KqIg+cAPKi8y8bavHHZrQ==" spinCount="100000" sheet="1" objects="1" scenarios="1"/>
  <phoneticPr fontId="2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592EB-EE1A-476F-A7A3-4B88E8624F2D}">
  <dimension ref="A2:Q46"/>
  <sheetViews>
    <sheetView workbookViewId="0">
      <selection activeCell="A34" sqref="A34"/>
    </sheetView>
  </sheetViews>
  <sheetFormatPr defaultRowHeight="14.5" x14ac:dyDescent="0.35"/>
  <cols>
    <col min="1" max="1" width="6.33203125" bestFit="1" customWidth="1"/>
    <col min="2" max="5" width="8.75" bestFit="1" customWidth="1"/>
    <col min="6" max="6" width="7.5" bestFit="1" customWidth="1"/>
    <col min="7" max="17" width="8.75" bestFit="1" customWidth="1"/>
  </cols>
  <sheetData>
    <row r="2" spans="1:13" x14ac:dyDescent="0.35">
      <c r="A2" t="s">
        <v>125</v>
      </c>
      <c r="B2" t="s">
        <v>122</v>
      </c>
      <c r="C2" t="s">
        <v>120</v>
      </c>
      <c r="D2" t="s">
        <v>121</v>
      </c>
      <c r="E2" t="s">
        <v>119</v>
      </c>
      <c r="F2" t="s">
        <v>118</v>
      </c>
      <c r="G2" t="s">
        <v>117</v>
      </c>
      <c r="H2" t="s">
        <v>116</v>
      </c>
      <c r="I2" t="s">
        <v>115</v>
      </c>
      <c r="J2" s="8" t="s">
        <v>113</v>
      </c>
      <c r="K2" s="8" t="s">
        <v>114</v>
      </c>
      <c r="L2" t="s">
        <v>123</v>
      </c>
      <c r="M2" t="s">
        <v>124</v>
      </c>
    </row>
    <row r="3" spans="1:13" x14ac:dyDescent="0.35">
      <c r="A3">
        <v>1</v>
      </c>
      <c r="B3">
        <v>0</v>
      </c>
    </row>
    <row r="4" spans="1:13" x14ac:dyDescent="0.35">
      <c r="A4">
        <v>2</v>
      </c>
      <c r="B4">
        <v>0</v>
      </c>
      <c r="C4">
        <v>1</v>
      </c>
    </row>
    <row r="5" spans="1:13" x14ac:dyDescent="0.35">
      <c r="A5">
        <v>3</v>
      </c>
      <c r="B5">
        <v>0</v>
      </c>
      <c r="C5">
        <v>1</v>
      </c>
      <c r="D5">
        <v>1</v>
      </c>
    </row>
    <row r="6" spans="1:13" x14ac:dyDescent="0.35">
      <c r="A6">
        <v>4</v>
      </c>
      <c r="B6">
        <v>0</v>
      </c>
      <c r="C6">
        <v>1</v>
      </c>
      <c r="D6">
        <v>1</v>
      </c>
      <c r="E6">
        <v>1</v>
      </c>
    </row>
    <row r="7" spans="1:13" x14ac:dyDescent="0.35">
      <c r="A7">
        <v>5</v>
      </c>
      <c r="B7">
        <v>0</v>
      </c>
      <c r="C7">
        <v>1</v>
      </c>
      <c r="D7">
        <v>1</v>
      </c>
      <c r="E7">
        <v>1</v>
      </c>
      <c r="F7">
        <v>1</v>
      </c>
    </row>
    <row r="8" spans="1:13" x14ac:dyDescent="0.35">
      <c r="A8">
        <v>6</v>
      </c>
      <c r="B8">
        <v>0</v>
      </c>
      <c r="C8">
        <v>1</v>
      </c>
      <c r="D8">
        <v>1</v>
      </c>
      <c r="E8">
        <v>1</v>
      </c>
      <c r="F8">
        <v>1</v>
      </c>
      <c r="G8">
        <v>1</v>
      </c>
    </row>
    <row r="9" spans="1:13" x14ac:dyDescent="0.35">
      <c r="A9">
        <v>7</v>
      </c>
      <c r="B9">
        <v>0</v>
      </c>
      <c r="C9">
        <v>1</v>
      </c>
      <c r="D9">
        <v>1</v>
      </c>
      <c r="E9">
        <v>1</v>
      </c>
      <c r="F9">
        <v>1</v>
      </c>
      <c r="G9">
        <v>1</v>
      </c>
      <c r="H9">
        <v>1</v>
      </c>
    </row>
    <row r="10" spans="1:13" x14ac:dyDescent="0.35">
      <c r="A10">
        <v>8</v>
      </c>
      <c r="B10">
        <v>0</v>
      </c>
      <c r="C10">
        <v>1</v>
      </c>
      <c r="D10">
        <v>1</v>
      </c>
      <c r="E10">
        <v>1</v>
      </c>
      <c r="F10">
        <v>1</v>
      </c>
      <c r="G10">
        <v>1</v>
      </c>
      <c r="H10">
        <v>1</v>
      </c>
      <c r="I10">
        <v>1</v>
      </c>
    </row>
    <row r="11" spans="1:13" x14ac:dyDescent="0.35">
      <c r="A11">
        <v>9</v>
      </c>
      <c r="B11">
        <v>0</v>
      </c>
      <c r="C11">
        <v>1</v>
      </c>
      <c r="D11">
        <v>1</v>
      </c>
      <c r="E11">
        <v>1</v>
      </c>
      <c r="F11">
        <v>1</v>
      </c>
      <c r="G11">
        <v>1</v>
      </c>
      <c r="H11">
        <v>1</v>
      </c>
      <c r="I11">
        <v>1</v>
      </c>
      <c r="J11">
        <v>1</v>
      </c>
    </row>
    <row r="12" spans="1:13" x14ac:dyDescent="0.35">
      <c r="A12">
        <v>10</v>
      </c>
      <c r="B12">
        <v>0</v>
      </c>
      <c r="C12">
        <v>1</v>
      </c>
      <c r="D12">
        <v>1</v>
      </c>
      <c r="E12">
        <v>1</v>
      </c>
      <c r="F12">
        <v>1</v>
      </c>
      <c r="G12">
        <v>1</v>
      </c>
      <c r="H12">
        <v>1</v>
      </c>
      <c r="I12">
        <v>1</v>
      </c>
      <c r="J12">
        <v>1</v>
      </c>
      <c r="K12">
        <v>1</v>
      </c>
    </row>
    <row r="13" spans="1:13" x14ac:dyDescent="0.35">
      <c r="A13">
        <v>11</v>
      </c>
      <c r="B13">
        <v>0</v>
      </c>
      <c r="C13">
        <v>1</v>
      </c>
      <c r="D13">
        <v>1</v>
      </c>
      <c r="E13">
        <v>1</v>
      </c>
      <c r="F13">
        <v>1</v>
      </c>
      <c r="G13">
        <v>1</v>
      </c>
      <c r="H13">
        <v>1</v>
      </c>
      <c r="I13">
        <v>1</v>
      </c>
      <c r="J13">
        <v>1</v>
      </c>
      <c r="K13">
        <v>1</v>
      </c>
      <c r="L13">
        <v>1</v>
      </c>
    </row>
    <row r="14" spans="1:13" x14ac:dyDescent="0.35">
      <c r="A14">
        <v>12</v>
      </c>
      <c r="B14">
        <v>0</v>
      </c>
      <c r="C14">
        <v>1</v>
      </c>
      <c r="D14">
        <v>1</v>
      </c>
      <c r="E14">
        <v>1</v>
      </c>
      <c r="F14">
        <v>1</v>
      </c>
      <c r="G14">
        <v>1</v>
      </c>
      <c r="H14">
        <v>1</v>
      </c>
      <c r="I14">
        <v>1</v>
      </c>
      <c r="J14">
        <v>1</v>
      </c>
      <c r="K14">
        <v>1</v>
      </c>
      <c r="L14">
        <v>1</v>
      </c>
      <c r="M14">
        <v>1</v>
      </c>
    </row>
    <row r="15" spans="1:13" x14ac:dyDescent="0.35">
      <c r="B15" s="9">
        <f t="shared" ref="B15:I15" si="0">(SUM(B3:B14)/12)</f>
        <v>0</v>
      </c>
      <c r="C15" s="9">
        <f t="shared" si="0"/>
        <v>0.91666666666666663</v>
      </c>
      <c r="D15" s="9">
        <f t="shared" si="0"/>
        <v>0.83333333333333337</v>
      </c>
      <c r="E15" s="9">
        <f t="shared" si="0"/>
        <v>0.75</v>
      </c>
      <c r="F15" s="9">
        <f t="shared" si="0"/>
        <v>0.66666666666666663</v>
      </c>
      <c r="G15" s="9">
        <f t="shared" si="0"/>
        <v>0.58333333333333337</v>
      </c>
      <c r="H15" s="9">
        <f t="shared" si="0"/>
        <v>0.5</v>
      </c>
      <c r="I15" s="9">
        <f t="shared" si="0"/>
        <v>0.41666666666666669</v>
      </c>
      <c r="J15" s="9">
        <f>(SUM(J3:J14)/12)</f>
        <v>0.33333333333333331</v>
      </c>
      <c r="K15" s="9">
        <f>(SUM(K3:K14)/12)</f>
        <v>0.25</v>
      </c>
      <c r="L15" s="9">
        <f t="shared" ref="L15:M15" si="1">(SUM(L3:L14)/12)</f>
        <v>0.16666666666666666</v>
      </c>
      <c r="M15" s="9">
        <f t="shared" si="1"/>
        <v>8.3333333333333329E-2</v>
      </c>
    </row>
    <row r="17" spans="1:17" x14ac:dyDescent="0.35">
      <c r="B17" s="292" t="s">
        <v>126</v>
      </c>
      <c r="C17" s="292"/>
      <c r="D17" s="292"/>
      <c r="E17" s="292"/>
      <c r="F17" s="292"/>
      <c r="G17" s="292"/>
      <c r="H17" s="292"/>
      <c r="I17" s="292"/>
      <c r="J17" s="292"/>
      <c r="K17" s="292"/>
      <c r="L17" s="292"/>
      <c r="M17" s="292"/>
      <c r="N17" s="292"/>
      <c r="O17" s="292"/>
      <c r="P17" s="292"/>
      <c r="Q17" s="292"/>
    </row>
    <row r="18" spans="1:17" x14ac:dyDescent="0.35">
      <c r="A18" t="s">
        <v>15</v>
      </c>
      <c r="B18">
        <v>1</v>
      </c>
      <c r="C18">
        <v>2</v>
      </c>
      <c r="D18">
        <v>3</v>
      </c>
      <c r="E18">
        <v>4</v>
      </c>
      <c r="F18">
        <v>5</v>
      </c>
      <c r="G18">
        <v>6</v>
      </c>
      <c r="H18">
        <v>7</v>
      </c>
      <c r="I18">
        <v>8</v>
      </c>
      <c r="J18">
        <v>9</v>
      </c>
      <c r="K18">
        <v>10</v>
      </c>
      <c r="L18">
        <v>11</v>
      </c>
      <c r="M18">
        <v>12</v>
      </c>
    </row>
    <row r="19" spans="1:17" x14ac:dyDescent="0.35">
      <c r="A19">
        <v>1</v>
      </c>
      <c r="B19" s="10">
        <f>$B$15*B$18</f>
        <v>0</v>
      </c>
      <c r="C19" s="10">
        <f t="shared" ref="C19:M19" si="2">$B$15*C$18</f>
        <v>0</v>
      </c>
      <c r="D19" s="10">
        <f t="shared" si="2"/>
        <v>0</v>
      </c>
      <c r="E19" s="10">
        <f t="shared" si="2"/>
        <v>0</v>
      </c>
      <c r="F19" s="10">
        <f t="shared" si="2"/>
        <v>0</v>
      </c>
      <c r="G19" s="10">
        <f t="shared" si="2"/>
        <v>0</v>
      </c>
      <c r="H19" s="10">
        <f t="shared" si="2"/>
        <v>0</v>
      </c>
      <c r="I19" s="10">
        <f t="shared" si="2"/>
        <v>0</v>
      </c>
      <c r="J19" s="10">
        <f t="shared" si="2"/>
        <v>0</v>
      </c>
      <c r="K19" s="10">
        <f t="shared" si="2"/>
        <v>0</v>
      </c>
      <c r="L19" s="10">
        <f t="shared" si="2"/>
        <v>0</v>
      </c>
      <c r="M19" s="10">
        <f t="shared" si="2"/>
        <v>0</v>
      </c>
      <c r="N19" s="10"/>
      <c r="O19" s="10"/>
      <c r="P19" s="10"/>
      <c r="Q19" s="10"/>
    </row>
    <row r="20" spans="1:17" x14ac:dyDescent="0.35">
      <c r="A20">
        <v>2</v>
      </c>
      <c r="B20" s="10">
        <f>$C$15*B$18</f>
        <v>0.91666666666666663</v>
      </c>
      <c r="C20" s="11">
        <f t="shared" ref="C20:M20" si="3">$C$15*C$18</f>
        <v>1.8333333333333333</v>
      </c>
      <c r="D20" s="12">
        <f t="shared" si="3"/>
        <v>2.75</v>
      </c>
      <c r="E20" s="13">
        <f t="shared" si="3"/>
        <v>3.6666666666666665</v>
      </c>
      <c r="F20" s="14">
        <f t="shared" si="3"/>
        <v>4.583333333333333</v>
      </c>
      <c r="G20" s="15">
        <f t="shared" si="3"/>
        <v>5.5</v>
      </c>
      <c r="H20" s="11">
        <f t="shared" si="3"/>
        <v>6.4166666666666661</v>
      </c>
      <c r="I20" s="12">
        <f t="shared" si="3"/>
        <v>7.333333333333333</v>
      </c>
      <c r="J20" s="13">
        <f t="shared" si="3"/>
        <v>8.25</v>
      </c>
      <c r="K20" s="14">
        <f t="shared" si="3"/>
        <v>9.1666666666666661</v>
      </c>
      <c r="L20" s="16">
        <f t="shared" si="3"/>
        <v>10.083333333333332</v>
      </c>
      <c r="M20" s="11">
        <f t="shared" si="3"/>
        <v>11</v>
      </c>
      <c r="N20" s="11"/>
      <c r="O20" s="12"/>
      <c r="P20" s="13"/>
      <c r="Q20" s="14"/>
    </row>
    <row r="21" spans="1:17" x14ac:dyDescent="0.35">
      <c r="A21" s="27">
        <v>3</v>
      </c>
      <c r="B21" s="28">
        <f>$D$15*B$18</f>
        <v>0.83333333333333337</v>
      </c>
      <c r="C21" s="29">
        <f t="shared" ref="C21:M21" si="4">$D$15*C$18</f>
        <v>1.6666666666666667</v>
      </c>
      <c r="D21" s="30">
        <f t="shared" si="4"/>
        <v>2.5</v>
      </c>
      <c r="E21" s="31">
        <f t="shared" si="4"/>
        <v>3.3333333333333335</v>
      </c>
      <c r="F21" s="32">
        <f t="shared" si="4"/>
        <v>4.166666666666667</v>
      </c>
      <c r="G21" s="33">
        <f t="shared" si="4"/>
        <v>5</v>
      </c>
      <c r="H21" s="33">
        <f t="shared" si="4"/>
        <v>5.8333333333333339</v>
      </c>
      <c r="I21" s="29">
        <f t="shared" si="4"/>
        <v>6.666666666666667</v>
      </c>
      <c r="J21" s="30">
        <f t="shared" si="4"/>
        <v>7.5</v>
      </c>
      <c r="K21" s="31">
        <f t="shared" si="4"/>
        <v>8.3333333333333339</v>
      </c>
      <c r="L21" s="32">
        <f t="shared" si="4"/>
        <v>9.1666666666666679</v>
      </c>
      <c r="M21" s="34">
        <f t="shared" si="4"/>
        <v>10</v>
      </c>
      <c r="N21" s="16"/>
      <c r="O21" s="11"/>
      <c r="P21" s="12"/>
      <c r="Q21" s="13"/>
    </row>
    <row r="22" spans="1:17" x14ac:dyDescent="0.35">
      <c r="A22">
        <v>4</v>
      </c>
      <c r="B22" s="10">
        <f>$E$15*B$18</f>
        <v>0.75</v>
      </c>
      <c r="C22" s="11">
        <f t="shared" ref="C22:M22" si="5">$E$15*C$18</f>
        <v>1.5</v>
      </c>
      <c r="D22" s="12">
        <f t="shared" si="5"/>
        <v>2.25</v>
      </c>
      <c r="E22" s="13">
        <f t="shared" si="5"/>
        <v>3</v>
      </c>
      <c r="F22" s="13">
        <f t="shared" si="5"/>
        <v>3.75</v>
      </c>
      <c r="G22" s="14">
        <f t="shared" si="5"/>
        <v>4.5</v>
      </c>
      <c r="H22" s="15">
        <f t="shared" si="5"/>
        <v>5.25</v>
      </c>
      <c r="I22" s="11">
        <f t="shared" si="5"/>
        <v>6</v>
      </c>
      <c r="J22" s="11">
        <f t="shared" si="5"/>
        <v>6.75</v>
      </c>
      <c r="K22" s="12">
        <f t="shared" si="5"/>
        <v>7.5</v>
      </c>
      <c r="L22" s="13">
        <f t="shared" si="5"/>
        <v>8.25</v>
      </c>
      <c r="M22" s="14">
        <f t="shared" si="5"/>
        <v>9</v>
      </c>
      <c r="N22" s="14"/>
      <c r="O22" s="16"/>
      <c r="P22" s="11"/>
      <c r="Q22" s="12"/>
    </row>
    <row r="23" spans="1:17" x14ac:dyDescent="0.35">
      <c r="A23" s="27">
        <v>5</v>
      </c>
      <c r="B23" s="28">
        <f>$F$15*B$18</f>
        <v>0.66666666666666663</v>
      </c>
      <c r="C23" s="29">
        <f t="shared" ref="C23:M23" si="6">$F$15*C$18</f>
        <v>1.3333333333333333</v>
      </c>
      <c r="D23" s="30">
        <f t="shared" si="6"/>
        <v>2</v>
      </c>
      <c r="E23" s="30">
        <f t="shared" si="6"/>
        <v>2.6666666666666665</v>
      </c>
      <c r="F23" s="31">
        <f t="shared" si="6"/>
        <v>3.333333333333333</v>
      </c>
      <c r="G23" s="32">
        <f t="shared" si="6"/>
        <v>4</v>
      </c>
      <c r="H23" s="32">
        <f t="shared" si="6"/>
        <v>4.6666666666666661</v>
      </c>
      <c r="I23" s="33">
        <f t="shared" si="6"/>
        <v>5.333333333333333</v>
      </c>
      <c r="J23" s="29">
        <f t="shared" si="6"/>
        <v>6</v>
      </c>
      <c r="K23" s="29">
        <f t="shared" si="6"/>
        <v>6.6666666666666661</v>
      </c>
      <c r="L23" s="30">
        <f t="shared" si="6"/>
        <v>7.333333333333333</v>
      </c>
      <c r="M23" s="31">
        <f t="shared" si="6"/>
        <v>8</v>
      </c>
      <c r="N23" s="13"/>
      <c r="O23" s="14"/>
      <c r="P23" s="16"/>
      <c r="Q23" s="16"/>
    </row>
    <row r="24" spans="1:17" x14ac:dyDescent="0.35">
      <c r="A24">
        <v>6</v>
      </c>
      <c r="B24" s="10">
        <f>$G$15*B$18</f>
        <v>0.58333333333333337</v>
      </c>
      <c r="C24" s="11">
        <f t="shared" ref="C24:M24" si="7">$G$15*C$18</f>
        <v>1.1666666666666667</v>
      </c>
      <c r="D24" s="11">
        <f t="shared" si="7"/>
        <v>1.75</v>
      </c>
      <c r="E24" s="12">
        <f t="shared" si="7"/>
        <v>2.3333333333333335</v>
      </c>
      <c r="F24" s="12">
        <f t="shared" si="7"/>
        <v>2.916666666666667</v>
      </c>
      <c r="G24" s="13">
        <f t="shared" si="7"/>
        <v>3.5</v>
      </c>
      <c r="H24" s="14">
        <f t="shared" si="7"/>
        <v>4.0833333333333339</v>
      </c>
      <c r="I24" s="14">
        <f t="shared" si="7"/>
        <v>4.666666666666667</v>
      </c>
      <c r="J24" s="15">
        <f t="shared" si="7"/>
        <v>5.25</v>
      </c>
      <c r="K24" s="15">
        <f t="shared" si="7"/>
        <v>5.8333333333333339</v>
      </c>
      <c r="L24" s="11">
        <f t="shared" si="7"/>
        <v>6.416666666666667</v>
      </c>
      <c r="M24" s="12">
        <f t="shared" si="7"/>
        <v>7</v>
      </c>
      <c r="N24" s="12"/>
      <c r="O24" s="13"/>
      <c r="P24" s="13"/>
      <c r="Q24" s="14"/>
    </row>
    <row r="25" spans="1:17" x14ac:dyDescent="0.35">
      <c r="A25" s="27">
        <v>7</v>
      </c>
      <c r="B25" s="28">
        <f>$H$15*B$18</f>
        <v>0.5</v>
      </c>
      <c r="C25" s="29">
        <f t="shared" ref="C25:M25" si="8">$H$15*C$18</f>
        <v>1</v>
      </c>
      <c r="D25" s="29">
        <f t="shared" si="8"/>
        <v>1.5</v>
      </c>
      <c r="E25" s="30">
        <f t="shared" si="8"/>
        <v>2</v>
      </c>
      <c r="F25" s="30">
        <f t="shared" si="8"/>
        <v>2.5</v>
      </c>
      <c r="G25" s="31">
        <f t="shared" si="8"/>
        <v>3</v>
      </c>
      <c r="H25" s="31">
        <f t="shared" si="8"/>
        <v>3.5</v>
      </c>
      <c r="I25" s="32">
        <f t="shared" si="8"/>
        <v>4</v>
      </c>
      <c r="J25" s="32">
        <f t="shared" si="8"/>
        <v>4.5</v>
      </c>
      <c r="K25" s="33">
        <f t="shared" si="8"/>
        <v>5</v>
      </c>
      <c r="L25" s="33">
        <f t="shared" si="8"/>
        <v>5.5</v>
      </c>
      <c r="M25" s="29">
        <f t="shared" si="8"/>
        <v>6</v>
      </c>
      <c r="N25" s="11"/>
      <c r="O25" s="12"/>
      <c r="P25" s="12"/>
      <c r="Q25" s="13"/>
    </row>
    <row r="26" spans="1:17" x14ac:dyDescent="0.35">
      <c r="A26" s="20">
        <v>8</v>
      </c>
      <c r="B26" s="21">
        <f>$I$15*B$18</f>
        <v>0.41666666666666669</v>
      </c>
      <c r="C26" s="21">
        <f t="shared" ref="C26:M26" si="9">$I$15*C$18</f>
        <v>0.83333333333333337</v>
      </c>
      <c r="D26" s="22">
        <f t="shared" si="9"/>
        <v>1.25</v>
      </c>
      <c r="E26" s="22">
        <f t="shared" si="9"/>
        <v>1.6666666666666667</v>
      </c>
      <c r="F26" s="23">
        <f t="shared" si="9"/>
        <v>2.0833333333333335</v>
      </c>
      <c r="G26" s="23">
        <f t="shared" si="9"/>
        <v>2.5</v>
      </c>
      <c r="H26" s="23">
        <f t="shared" si="9"/>
        <v>2.916666666666667</v>
      </c>
      <c r="I26" s="24">
        <f t="shared" si="9"/>
        <v>3.3333333333333335</v>
      </c>
      <c r="J26" s="24">
        <f t="shared" si="9"/>
        <v>3.75</v>
      </c>
      <c r="K26" s="25">
        <f t="shared" si="9"/>
        <v>4.166666666666667</v>
      </c>
      <c r="L26" s="25">
        <f t="shared" si="9"/>
        <v>4.5833333333333339</v>
      </c>
      <c r="M26" s="26">
        <f t="shared" si="9"/>
        <v>5</v>
      </c>
      <c r="N26" s="15"/>
      <c r="O26" s="15"/>
      <c r="P26" s="11"/>
      <c r="Q26" s="11"/>
    </row>
    <row r="27" spans="1:17" x14ac:dyDescent="0.35">
      <c r="A27">
        <v>9</v>
      </c>
      <c r="B27" s="10">
        <f>$J$15*B$18</f>
        <v>0.33333333333333331</v>
      </c>
      <c r="C27" s="10">
        <f t="shared" ref="C27:M27" si="10">$J$15*C$18</f>
        <v>0.66666666666666663</v>
      </c>
      <c r="D27" s="11">
        <f t="shared" si="10"/>
        <v>1</v>
      </c>
      <c r="E27" s="11">
        <f t="shared" si="10"/>
        <v>1.3333333333333333</v>
      </c>
      <c r="F27" s="11">
        <f t="shared" si="10"/>
        <v>1.6666666666666665</v>
      </c>
      <c r="G27" s="12">
        <f t="shared" si="10"/>
        <v>2</v>
      </c>
      <c r="H27" s="12">
        <f t="shared" si="10"/>
        <v>2.333333333333333</v>
      </c>
      <c r="I27" s="12">
        <f t="shared" si="10"/>
        <v>2.6666666666666665</v>
      </c>
      <c r="J27" s="13">
        <f t="shared" si="10"/>
        <v>3</v>
      </c>
      <c r="K27" s="13">
        <f t="shared" si="10"/>
        <v>3.333333333333333</v>
      </c>
      <c r="L27" s="13">
        <f t="shared" si="10"/>
        <v>3.6666666666666665</v>
      </c>
      <c r="M27" s="14">
        <f t="shared" si="10"/>
        <v>4</v>
      </c>
      <c r="N27" s="14"/>
      <c r="O27" s="14"/>
      <c r="P27" s="15"/>
      <c r="Q27" s="15"/>
    </row>
    <row r="28" spans="1:17" x14ac:dyDescent="0.35">
      <c r="A28">
        <v>10</v>
      </c>
      <c r="B28" s="10">
        <f>$K$15*B$18</f>
        <v>0.25</v>
      </c>
      <c r="C28" s="10">
        <f t="shared" ref="C28:M28" si="11">$K$15*C$18</f>
        <v>0.5</v>
      </c>
      <c r="D28" s="10">
        <f t="shared" si="11"/>
        <v>0.75</v>
      </c>
      <c r="E28" s="11">
        <f t="shared" si="11"/>
        <v>1</v>
      </c>
      <c r="F28" s="11">
        <f t="shared" si="11"/>
        <v>1.25</v>
      </c>
      <c r="G28" s="11">
        <f t="shared" si="11"/>
        <v>1.5</v>
      </c>
      <c r="H28" s="11">
        <f t="shared" si="11"/>
        <v>1.75</v>
      </c>
      <c r="I28" s="12">
        <f t="shared" si="11"/>
        <v>2</v>
      </c>
      <c r="J28" s="12">
        <f t="shared" si="11"/>
        <v>2.25</v>
      </c>
      <c r="K28" s="12">
        <f t="shared" si="11"/>
        <v>2.5</v>
      </c>
      <c r="L28" s="12">
        <f t="shared" si="11"/>
        <v>2.75</v>
      </c>
      <c r="M28" s="13">
        <f t="shared" si="11"/>
        <v>3</v>
      </c>
      <c r="N28" s="13"/>
      <c r="O28" s="13"/>
      <c r="P28" s="13"/>
      <c r="Q28" s="14"/>
    </row>
    <row r="29" spans="1:17" x14ac:dyDescent="0.35">
      <c r="A29">
        <v>11</v>
      </c>
      <c r="B29" s="10">
        <f>$L$15*B$18</f>
        <v>0.16666666666666666</v>
      </c>
      <c r="C29" s="10">
        <f t="shared" ref="C29:M29" si="12">$L$15*C$18</f>
        <v>0.33333333333333331</v>
      </c>
      <c r="D29" s="10">
        <f t="shared" si="12"/>
        <v>0.5</v>
      </c>
      <c r="E29" s="10">
        <f t="shared" si="12"/>
        <v>0.66666666666666663</v>
      </c>
      <c r="F29" s="10">
        <f t="shared" si="12"/>
        <v>0.83333333333333326</v>
      </c>
      <c r="G29" s="11">
        <f t="shared" si="12"/>
        <v>1</v>
      </c>
      <c r="H29" s="11">
        <f t="shared" si="12"/>
        <v>1.1666666666666665</v>
      </c>
      <c r="I29" s="11">
        <f t="shared" si="12"/>
        <v>1.3333333333333333</v>
      </c>
      <c r="J29" s="11">
        <f t="shared" si="12"/>
        <v>1.5</v>
      </c>
      <c r="K29" s="11">
        <f t="shared" si="12"/>
        <v>1.6666666666666665</v>
      </c>
      <c r="L29" s="11">
        <f t="shared" si="12"/>
        <v>1.8333333333333333</v>
      </c>
      <c r="M29" s="12">
        <f t="shared" si="12"/>
        <v>2</v>
      </c>
      <c r="N29" s="12"/>
      <c r="O29" s="12"/>
      <c r="P29" s="12"/>
      <c r="Q29" s="12"/>
    </row>
    <row r="30" spans="1:17" x14ac:dyDescent="0.35">
      <c r="A30">
        <v>12</v>
      </c>
      <c r="B30" s="10">
        <f>$M$15*B$18</f>
        <v>8.3333333333333329E-2</v>
      </c>
      <c r="C30" s="10">
        <f t="shared" ref="C30:M30" si="13">$M$15*C$18</f>
        <v>0.16666666666666666</v>
      </c>
      <c r="D30" s="10">
        <f t="shared" si="13"/>
        <v>0.25</v>
      </c>
      <c r="E30" s="10">
        <f t="shared" si="13"/>
        <v>0.33333333333333331</v>
      </c>
      <c r="F30" s="10">
        <f t="shared" si="13"/>
        <v>0.41666666666666663</v>
      </c>
      <c r="G30" s="10">
        <f t="shared" si="13"/>
        <v>0.5</v>
      </c>
      <c r="H30" s="10">
        <f t="shared" si="13"/>
        <v>0.58333333333333326</v>
      </c>
      <c r="I30" s="10">
        <f t="shared" si="13"/>
        <v>0.66666666666666663</v>
      </c>
      <c r="J30" s="10">
        <f t="shared" si="13"/>
        <v>0.75</v>
      </c>
      <c r="K30" s="10">
        <f t="shared" si="13"/>
        <v>0.83333333333333326</v>
      </c>
      <c r="L30" s="10">
        <f t="shared" si="13"/>
        <v>0.91666666666666663</v>
      </c>
      <c r="M30" s="11">
        <f t="shared" si="13"/>
        <v>1</v>
      </c>
      <c r="N30" s="11"/>
      <c r="O30" s="11"/>
      <c r="P30" s="11"/>
      <c r="Q30" s="11"/>
    </row>
    <row r="32" spans="1:17" x14ac:dyDescent="0.35">
      <c r="A32" t="s">
        <v>69</v>
      </c>
      <c r="B32" s="293" t="s">
        <v>65</v>
      </c>
      <c r="C32" s="293"/>
      <c r="D32" s="293"/>
      <c r="E32" s="293"/>
      <c r="F32" s="293"/>
      <c r="G32" s="293"/>
      <c r="H32" s="293"/>
      <c r="I32" s="293"/>
      <c r="J32" s="293"/>
      <c r="K32" s="293"/>
      <c r="L32" s="293"/>
      <c r="M32" s="293"/>
      <c r="N32" s="293"/>
    </row>
    <row r="33" spans="1:14" x14ac:dyDescent="0.35">
      <c r="A33" s="17" t="s">
        <v>127</v>
      </c>
      <c r="B33" s="18">
        <v>0</v>
      </c>
      <c r="C33" s="18">
        <v>1</v>
      </c>
      <c r="D33" s="18">
        <v>2</v>
      </c>
      <c r="E33" s="18">
        <v>3</v>
      </c>
      <c r="F33" s="18">
        <v>4</v>
      </c>
      <c r="G33" s="18">
        <v>5</v>
      </c>
      <c r="H33" s="18">
        <v>6</v>
      </c>
      <c r="I33" s="18">
        <v>7</v>
      </c>
      <c r="J33" s="18">
        <v>8</v>
      </c>
      <c r="K33" s="18">
        <v>9</v>
      </c>
      <c r="L33" s="18">
        <v>10</v>
      </c>
      <c r="M33" s="18">
        <v>11</v>
      </c>
      <c r="N33" s="18">
        <v>12</v>
      </c>
    </row>
    <row r="34" spans="1:14" x14ac:dyDescent="0.35">
      <c r="A34" s="19">
        <v>0</v>
      </c>
      <c r="B34">
        <v>0</v>
      </c>
      <c r="C34">
        <v>0</v>
      </c>
      <c r="D34">
        <v>0</v>
      </c>
      <c r="E34">
        <v>0</v>
      </c>
      <c r="F34">
        <v>0</v>
      </c>
      <c r="G34">
        <v>0</v>
      </c>
      <c r="H34">
        <v>0</v>
      </c>
      <c r="I34">
        <v>0</v>
      </c>
      <c r="J34">
        <v>0</v>
      </c>
      <c r="K34">
        <v>0</v>
      </c>
      <c r="L34">
        <v>0</v>
      </c>
      <c r="M34">
        <v>0</v>
      </c>
      <c r="N34">
        <v>0</v>
      </c>
    </row>
    <row r="35" spans="1:14" x14ac:dyDescent="0.35">
      <c r="A35" s="19">
        <v>1</v>
      </c>
      <c r="B35">
        <v>0</v>
      </c>
      <c r="C35">
        <v>0</v>
      </c>
      <c r="D35">
        <v>0</v>
      </c>
      <c r="E35">
        <v>0</v>
      </c>
      <c r="F35">
        <v>0</v>
      </c>
      <c r="G35">
        <v>0</v>
      </c>
      <c r="H35">
        <v>0</v>
      </c>
      <c r="I35">
        <v>0</v>
      </c>
      <c r="J35">
        <v>0</v>
      </c>
      <c r="K35">
        <v>0</v>
      </c>
      <c r="L35">
        <v>0</v>
      </c>
      <c r="M35">
        <v>0</v>
      </c>
      <c r="N35">
        <v>0</v>
      </c>
    </row>
    <row r="36" spans="1:14" x14ac:dyDescent="0.35">
      <c r="A36" s="19">
        <v>2</v>
      </c>
      <c r="B36">
        <v>0</v>
      </c>
      <c r="C36">
        <v>0</v>
      </c>
      <c r="D36">
        <v>1</v>
      </c>
      <c r="E36">
        <v>1</v>
      </c>
      <c r="F36">
        <v>1</v>
      </c>
      <c r="G36">
        <v>1</v>
      </c>
      <c r="H36">
        <v>1</v>
      </c>
      <c r="I36">
        <v>1</v>
      </c>
      <c r="J36">
        <v>0</v>
      </c>
      <c r="K36">
        <v>0</v>
      </c>
      <c r="L36">
        <v>0</v>
      </c>
      <c r="M36">
        <v>0</v>
      </c>
      <c r="N36">
        <v>0</v>
      </c>
    </row>
    <row r="37" spans="1:14" x14ac:dyDescent="0.35">
      <c r="A37" s="19">
        <v>3</v>
      </c>
      <c r="B37">
        <v>0</v>
      </c>
      <c r="C37">
        <v>0</v>
      </c>
      <c r="D37">
        <v>2</v>
      </c>
      <c r="E37">
        <v>2</v>
      </c>
      <c r="F37">
        <v>2</v>
      </c>
      <c r="G37">
        <v>2</v>
      </c>
      <c r="H37">
        <v>1</v>
      </c>
      <c r="I37">
        <v>1</v>
      </c>
      <c r="J37">
        <v>1</v>
      </c>
      <c r="K37">
        <v>1</v>
      </c>
      <c r="L37">
        <v>0</v>
      </c>
      <c r="M37">
        <v>0</v>
      </c>
      <c r="N37">
        <v>0</v>
      </c>
    </row>
    <row r="38" spans="1:14" x14ac:dyDescent="0.35">
      <c r="A38" s="19">
        <v>4</v>
      </c>
      <c r="B38">
        <v>0</v>
      </c>
      <c r="C38">
        <v>0</v>
      </c>
      <c r="D38">
        <v>3</v>
      </c>
      <c r="E38">
        <v>3</v>
      </c>
      <c r="F38">
        <v>3</v>
      </c>
      <c r="G38">
        <v>2</v>
      </c>
      <c r="H38">
        <v>2</v>
      </c>
      <c r="I38">
        <v>2</v>
      </c>
      <c r="J38">
        <v>1</v>
      </c>
      <c r="K38">
        <v>1</v>
      </c>
      <c r="L38">
        <v>1</v>
      </c>
      <c r="M38">
        <v>0</v>
      </c>
      <c r="N38">
        <v>0</v>
      </c>
    </row>
    <row r="39" spans="1:14" x14ac:dyDescent="0.35">
      <c r="A39" s="19">
        <v>5</v>
      </c>
      <c r="B39">
        <v>0</v>
      </c>
      <c r="C39">
        <v>0</v>
      </c>
      <c r="D39">
        <v>4</v>
      </c>
      <c r="E39">
        <v>4</v>
      </c>
      <c r="F39">
        <v>3</v>
      </c>
      <c r="G39">
        <v>3</v>
      </c>
      <c r="H39">
        <v>2</v>
      </c>
      <c r="I39">
        <v>2</v>
      </c>
      <c r="J39">
        <v>2</v>
      </c>
      <c r="K39">
        <v>1</v>
      </c>
      <c r="L39">
        <v>1</v>
      </c>
      <c r="M39">
        <v>0</v>
      </c>
      <c r="N39">
        <v>0</v>
      </c>
    </row>
    <row r="40" spans="1:14" x14ac:dyDescent="0.35">
      <c r="A40" s="19">
        <v>6</v>
      </c>
      <c r="B40">
        <v>0</v>
      </c>
      <c r="C40">
        <v>0</v>
      </c>
      <c r="D40">
        <v>5</v>
      </c>
      <c r="E40">
        <v>5</v>
      </c>
      <c r="F40">
        <v>4</v>
      </c>
      <c r="G40">
        <v>4</v>
      </c>
      <c r="H40">
        <v>3</v>
      </c>
      <c r="I40">
        <v>3</v>
      </c>
      <c r="J40">
        <v>2</v>
      </c>
      <c r="K40">
        <v>2</v>
      </c>
      <c r="L40">
        <v>1</v>
      </c>
      <c r="M40">
        <v>1</v>
      </c>
      <c r="N40">
        <v>0</v>
      </c>
    </row>
    <row r="41" spans="1:14" x14ac:dyDescent="0.35">
      <c r="A41" s="19">
        <v>7</v>
      </c>
      <c r="B41">
        <v>0</v>
      </c>
      <c r="C41">
        <v>0</v>
      </c>
      <c r="D41">
        <v>6</v>
      </c>
      <c r="E41">
        <v>5</v>
      </c>
      <c r="F41">
        <v>5</v>
      </c>
      <c r="G41">
        <v>4</v>
      </c>
      <c r="H41">
        <v>3</v>
      </c>
      <c r="I41">
        <v>3</v>
      </c>
      <c r="J41">
        <v>2</v>
      </c>
      <c r="K41">
        <v>2</v>
      </c>
      <c r="L41">
        <v>1</v>
      </c>
      <c r="M41">
        <v>1</v>
      </c>
      <c r="N41">
        <v>0</v>
      </c>
    </row>
    <row r="42" spans="1:14" x14ac:dyDescent="0.35">
      <c r="A42" s="19">
        <v>8</v>
      </c>
      <c r="B42">
        <v>0</v>
      </c>
      <c r="C42">
        <v>0</v>
      </c>
      <c r="D42">
        <v>7</v>
      </c>
      <c r="E42">
        <v>6</v>
      </c>
      <c r="F42">
        <v>6</v>
      </c>
      <c r="G42">
        <v>5</v>
      </c>
      <c r="H42">
        <v>4</v>
      </c>
      <c r="I42">
        <v>4</v>
      </c>
      <c r="J42">
        <v>3</v>
      </c>
      <c r="K42">
        <v>2</v>
      </c>
      <c r="L42">
        <v>2</v>
      </c>
      <c r="M42">
        <v>1</v>
      </c>
      <c r="N42">
        <v>0</v>
      </c>
    </row>
    <row r="43" spans="1:14" x14ac:dyDescent="0.35">
      <c r="A43" s="19">
        <v>9</v>
      </c>
      <c r="B43">
        <v>0</v>
      </c>
      <c r="C43">
        <v>0</v>
      </c>
      <c r="D43">
        <v>8</v>
      </c>
      <c r="E43">
        <v>7</v>
      </c>
      <c r="F43">
        <v>6</v>
      </c>
      <c r="G43">
        <v>6</v>
      </c>
      <c r="H43">
        <v>4</v>
      </c>
      <c r="I43">
        <v>4</v>
      </c>
      <c r="J43">
        <v>3</v>
      </c>
      <c r="K43">
        <v>3</v>
      </c>
      <c r="L43">
        <v>2</v>
      </c>
      <c r="M43">
        <v>1</v>
      </c>
      <c r="N43">
        <v>0</v>
      </c>
    </row>
    <row r="44" spans="1:14" x14ac:dyDescent="0.35">
      <c r="A44" s="19">
        <v>10</v>
      </c>
      <c r="B44">
        <v>0</v>
      </c>
      <c r="C44">
        <v>0</v>
      </c>
      <c r="D44">
        <v>9</v>
      </c>
      <c r="E44">
        <v>8</v>
      </c>
      <c r="F44">
        <v>7</v>
      </c>
      <c r="G44">
        <v>6</v>
      </c>
      <c r="H44">
        <v>5</v>
      </c>
      <c r="I44">
        <v>5</v>
      </c>
      <c r="J44">
        <v>4</v>
      </c>
      <c r="K44">
        <v>3</v>
      </c>
      <c r="L44">
        <v>2</v>
      </c>
      <c r="M44">
        <v>1</v>
      </c>
      <c r="N44">
        <v>0</v>
      </c>
    </row>
    <row r="45" spans="1:14" x14ac:dyDescent="0.35">
      <c r="A45" s="19">
        <v>11</v>
      </c>
      <c r="B45">
        <v>0</v>
      </c>
      <c r="C45">
        <v>0</v>
      </c>
      <c r="D45">
        <v>10</v>
      </c>
      <c r="E45">
        <v>9</v>
      </c>
      <c r="F45">
        <v>8</v>
      </c>
      <c r="G45">
        <v>7</v>
      </c>
      <c r="H45">
        <v>6</v>
      </c>
      <c r="I45">
        <v>5</v>
      </c>
      <c r="J45">
        <v>4</v>
      </c>
      <c r="K45">
        <v>3</v>
      </c>
      <c r="L45">
        <v>2</v>
      </c>
      <c r="M45">
        <v>1</v>
      </c>
      <c r="N45">
        <v>0</v>
      </c>
    </row>
    <row r="46" spans="1:14" x14ac:dyDescent="0.35">
      <c r="A46" s="19">
        <v>12</v>
      </c>
      <c r="B46">
        <v>0</v>
      </c>
      <c r="C46">
        <v>0</v>
      </c>
      <c r="D46">
        <v>11</v>
      </c>
      <c r="E46">
        <v>10</v>
      </c>
      <c r="F46">
        <v>9</v>
      </c>
      <c r="G46">
        <v>8</v>
      </c>
      <c r="H46">
        <v>7</v>
      </c>
      <c r="I46">
        <v>6</v>
      </c>
      <c r="J46">
        <v>5</v>
      </c>
      <c r="K46">
        <v>4</v>
      </c>
      <c r="L46">
        <v>3</v>
      </c>
      <c r="M46">
        <v>2</v>
      </c>
      <c r="N46">
        <v>1</v>
      </c>
    </row>
  </sheetData>
  <mergeCells count="2">
    <mergeCell ref="B17:Q17"/>
    <mergeCell ref="B32:N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CC427-0665-48F5-A115-BBDE730367F4}">
  <dimension ref="A1:N45"/>
  <sheetViews>
    <sheetView showGridLines="0" showRowColHeaders="0" workbookViewId="0">
      <selection activeCell="J37" sqref="J37"/>
    </sheetView>
  </sheetViews>
  <sheetFormatPr defaultRowHeight="14.5" x14ac:dyDescent="0.35"/>
  <cols>
    <col min="1" max="1" width="4.75" style="43" bestFit="1" customWidth="1"/>
    <col min="2" max="2" width="9.9140625" bestFit="1" customWidth="1"/>
    <col min="3" max="4" width="10" bestFit="1" customWidth="1"/>
    <col min="11" max="11" width="4.33203125" bestFit="1" customWidth="1"/>
    <col min="12" max="12" width="3.58203125" customWidth="1"/>
    <col min="13" max="13" width="8.58203125" bestFit="1" customWidth="1"/>
    <col min="14" max="14" width="4.6640625" bestFit="1" customWidth="1"/>
  </cols>
  <sheetData>
    <row r="1" spans="1:9" ht="15" thickBot="1" x14ac:dyDescent="0.4">
      <c r="A1" s="55" t="s">
        <v>25</v>
      </c>
      <c r="B1" s="305" t="s">
        <v>108</v>
      </c>
      <c r="C1" s="305"/>
      <c r="D1" s="305"/>
      <c r="E1" s="305"/>
      <c r="F1" s="305"/>
      <c r="G1" s="305"/>
      <c r="H1" s="305"/>
      <c r="I1" s="306"/>
    </row>
    <row r="2" spans="1:9" x14ac:dyDescent="0.35">
      <c r="A2" s="56">
        <v>0</v>
      </c>
      <c r="B2" s="2" t="s">
        <v>70</v>
      </c>
      <c r="C2" s="299" t="s">
        <v>161</v>
      </c>
      <c r="D2" s="299"/>
      <c r="E2" s="299"/>
      <c r="F2" s="299"/>
      <c r="G2" s="299"/>
      <c r="H2" s="299"/>
      <c r="I2" s="299"/>
    </row>
    <row r="3" spans="1:9" x14ac:dyDescent="0.35">
      <c r="A3" s="56">
        <v>1</v>
      </c>
      <c r="B3" s="3" t="s">
        <v>73</v>
      </c>
      <c r="C3" s="307" t="s">
        <v>160</v>
      </c>
      <c r="D3" s="307"/>
      <c r="E3" s="307"/>
      <c r="F3" s="307"/>
      <c r="G3" s="307"/>
      <c r="H3" s="307"/>
      <c r="I3" s="307"/>
    </row>
    <row r="4" spans="1:9" x14ac:dyDescent="0.35">
      <c r="A4" s="56">
        <v>2</v>
      </c>
      <c r="B4" s="2" t="s">
        <v>74</v>
      </c>
      <c r="C4" s="299" t="s">
        <v>83</v>
      </c>
      <c r="D4" s="299"/>
      <c r="E4" s="299"/>
      <c r="F4" s="299"/>
      <c r="G4" s="299"/>
      <c r="H4" s="299"/>
      <c r="I4" s="299"/>
    </row>
    <row r="5" spans="1:9" x14ac:dyDescent="0.35">
      <c r="A5" s="56">
        <v>3</v>
      </c>
      <c r="B5" s="3" t="s">
        <v>76</v>
      </c>
      <c r="C5" s="307" t="s">
        <v>84</v>
      </c>
      <c r="D5" s="307"/>
      <c r="E5" s="307"/>
      <c r="F5" s="307"/>
      <c r="G5" s="307"/>
      <c r="H5" s="307"/>
      <c r="I5" s="307"/>
    </row>
    <row r="6" spans="1:9" x14ac:dyDescent="0.35">
      <c r="A6" s="56">
        <v>4</v>
      </c>
      <c r="B6" s="2" t="s">
        <v>75</v>
      </c>
      <c r="C6" s="299" t="s">
        <v>89</v>
      </c>
      <c r="D6" s="299"/>
      <c r="E6" s="299"/>
      <c r="F6" s="299"/>
      <c r="G6" s="299"/>
      <c r="H6" s="299"/>
      <c r="I6" s="299"/>
    </row>
    <row r="7" spans="1:9" x14ac:dyDescent="0.35">
      <c r="A7" s="56">
        <v>5</v>
      </c>
      <c r="B7" s="3" t="s">
        <v>77</v>
      </c>
      <c r="C7" s="307" t="s">
        <v>88</v>
      </c>
      <c r="D7" s="307"/>
      <c r="E7" s="307"/>
      <c r="F7" s="307"/>
      <c r="G7" s="307"/>
      <c r="H7" s="307"/>
      <c r="I7" s="307"/>
    </row>
    <row r="8" spans="1:9" x14ac:dyDescent="0.35">
      <c r="A8" s="56">
        <f t="shared" ref="A8:A14" si="0">A7*2</f>
        <v>10</v>
      </c>
      <c r="B8" s="2" t="s">
        <v>162</v>
      </c>
      <c r="C8" s="299" t="s">
        <v>87</v>
      </c>
      <c r="D8" s="299"/>
      <c r="E8" s="299"/>
      <c r="F8" s="299"/>
      <c r="G8" s="299"/>
      <c r="H8" s="299"/>
      <c r="I8" s="299"/>
    </row>
    <row r="9" spans="1:9" x14ac:dyDescent="0.35">
      <c r="A9" s="56">
        <f t="shared" si="0"/>
        <v>20</v>
      </c>
      <c r="B9" s="3" t="s">
        <v>128</v>
      </c>
      <c r="C9" s="307" t="s">
        <v>86</v>
      </c>
      <c r="D9" s="307"/>
      <c r="E9" s="307"/>
      <c r="F9" s="307"/>
      <c r="G9" s="307"/>
      <c r="H9" s="307"/>
      <c r="I9" s="307"/>
    </row>
    <row r="10" spans="1:9" x14ac:dyDescent="0.35">
      <c r="A10" s="56">
        <f t="shared" si="0"/>
        <v>40</v>
      </c>
      <c r="B10" s="2" t="s">
        <v>78</v>
      </c>
      <c r="C10" s="299" t="s">
        <v>85</v>
      </c>
      <c r="D10" s="299"/>
      <c r="E10" s="299"/>
      <c r="F10" s="299"/>
      <c r="G10" s="299"/>
      <c r="H10" s="299"/>
      <c r="I10" s="299"/>
    </row>
    <row r="11" spans="1:9" x14ac:dyDescent="0.35">
      <c r="A11" s="56">
        <f t="shared" si="0"/>
        <v>80</v>
      </c>
      <c r="B11" s="3" t="s">
        <v>79</v>
      </c>
      <c r="C11" s="307" t="s">
        <v>90</v>
      </c>
      <c r="D11" s="307"/>
      <c r="E11" s="307"/>
      <c r="F11" s="307"/>
      <c r="G11" s="307"/>
      <c r="H11" s="307"/>
      <c r="I11" s="307"/>
    </row>
    <row r="12" spans="1:9" x14ac:dyDescent="0.35">
      <c r="A12" s="56">
        <f t="shared" si="0"/>
        <v>160</v>
      </c>
      <c r="B12" s="2" t="s">
        <v>80</v>
      </c>
      <c r="C12" s="299" t="s">
        <v>91</v>
      </c>
      <c r="D12" s="299"/>
      <c r="E12" s="299"/>
      <c r="F12" s="299"/>
      <c r="G12" s="299"/>
      <c r="H12" s="299"/>
      <c r="I12" s="299"/>
    </row>
    <row r="13" spans="1:9" x14ac:dyDescent="0.35">
      <c r="A13" s="56">
        <f t="shared" si="0"/>
        <v>320</v>
      </c>
      <c r="B13" s="3" t="s">
        <v>81</v>
      </c>
      <c r="C13" s="307" t="s">
        <v>92</v>
      </c>
      <c r="D13" s="307"/>
      <c r="E13" s="307"/>
      <c r="F13" s="307"/>
      <c r="G13" s="307"/>
      <c r="H13" s="307"/>
      <c r="I13" s="307"/>
    </row>
    <row r="14" spans="1:9" ht="15" thickBot="1" x14ac:dyDescent="0.4">
      <c r="A14" s="57">
        <f t="shared" si="0"/>
        <v>640</v>
      </c>
      <c r="B14" s="4" t="s">
        <v>82</v>
      </c>
      <c r="C14" s="294" t="s">
        <v>93</v>
      </c>
      <c r="D14" s="294"/>
      <c r="E14" s="294"/>
      <c r="F14" s="294"/>
      <c r="G14" s="294"/>
      <c r="H14" s="294"/>
      <c r="I14" s="295"/>
    </row>
    <row r="15" spans="1:9" ht="4.5" customHeight="1" thickBot="1" x14ac:dyDescent="0.4"/>
    <row r="16" spans="1:9" ht="15" thickBot="1" x14ac:dyDescent="0.4">
      <c r="A16" s="58" t="s">
        <v>25</v>
      </c>
      <c r="B16" s="296" t="s">
        <v>104</v>
      </c>
      <c r="C16" s="296"/>
      <c r="D16" s="296"/>
      <c r="E16" s="296"/>
      <c r="F16" s="296"/>
      <c r="G16" s="296"/>
      <c r="H16" s="297"/>
    </row>
    <row r="17" spans="1:14" x14ac:dyDescent="0.35">
      <c r="A17" s="59">
        <v>0</v>
      </c>
      <c r="B17" s="2" t="s">
        <v>94</v>
      </c>
      <c r="C17" s="298" t="s">
        <v>96</v>
      </c>
      <c r="D17" s="298"/>
      <c r="E17" s="298"/>
      <c r="F17" s="298"/>
      <c r="G17" s="298"/>
      <c r="H17" s="299"/>
      <c r="N17" s="35"/>
    </row>
    <row r="18" spans="1:14" x14ac:dyDescent="0.35">
      <c r="A18" s="59">
        <v>1</v>
      </c>
      <c r="B18" s="7">
        <v>3</v>
      </c>
      <c r="C18" s="300" t="s">
        <v>150</v>
      </c>
      <c r="D18" s="300"/>
      <c r="E18" s="300"/>
      <c r="F18" s="300"/>
      <c r="G18" s="300"/>
      <c r="H18" s="301"/>
    </row>
    <row r="19" spans="1:14" x14ac:dyDescent="0.35">
      <c r="A19" s="59">
        <v>2</v>
      </c>
      <c r="B19" s="2">
        <v>6</v>
      </c>
      <c r="C19" s="298" t="s">
        <v>151</v>
      </c>
      <c r="D19" s="298"/>
      <c r="E19" s="298"/>
      <c r="F19" s="298"/>
      <c r="G19" s="298"/>
      <c r="H19" s="299"/>
    </row>
    <row r="20" spans="1:14" x14ac:dyDescent="0.35">
      <c r="A20" s="59">
        <v>3</v>
      </c>
      <c r="B20" s="7" t="s">
        <v>148</v>
      </c>
      <c r="C20" s="300" t="s">
        <v>95</v>
      </c>
      <c r="D20" s="300"/>
      <c r="E20" s="300"/>
      <c r="F20" s="300"/>
      <c r="G20" s="300"/>
      <c r="H20" s="301"/>
    </row>
    <row r="21" spans="1:14" x14ac:dyDescent="0.35">
      <c r="A21" s="59">
        <v>4</v>
      </c>
      <c r="B21" s="2" t="s">
        <v>101</v>
      </c>
      <c r="C21" s="298" t="s">
        <v>97</v>
      </c>
      <c r="D21" s="298"/>
      <c r="E21" s="298"/>
      <c r="F21" s="298"/>
      <c r="G21" s="298"/>
      <c r="H21" s="299"/>
    </row>
    <row r="22" spans="1:14" x14ac:dyDescent="0.35">
      <c r="A22" s="59">
        <v>6</v>
      </c>
      <c r="B22" s="7" t="s">
        <v>102</v>
      </c>
      <c r="C22" s="300" t="s">
        <v>152</v>
      </c>
      <c r="D22" s="300"/>
      <c r="E22" s="300"/>
      <c r="F22" s="300"/>
      <c r="G22" s="300"/>
      <c r="H22" s="301"/>
    </row>
    <row r="23" spans="1:14" x14ac:dyDescent="0.35">
      <c r="A23" s="59">
        <v>12</v>
      </c>
      <c r="B23" s="2" t="s">
        <v>147</v>
      </c>
      <c r="C23" s="298" t="s">
        <v>155</v>
      </c>
      <c r="D23" s="298"/>
      <c r="E23" s="298"/>
      <c r="F23" s="298"/>
      <c r="G23" s="298"/>
      <c r="H23" s="299"/>
    </row>
    <row r="24" spans="1:14" x14ac:dyDescent="0.35">
      <c r="A24" s="59">
        <v>24</v>
      </c>
      <c r="B24" s="7" t="s">
        <v>146</v>
      </c>
      <c r="C24" s="300" t="s">
        <v>153</v>
      </c>
      <c r="D24" s="300"/>
      <c r="E24" s="300"/>
      <c r="F24" s="300"/>
      <c r="G24" s="300"/>
      <c r="H24" s="301"/>
    </row>
    <row r="25" spans="1:14" x14ac:dyDescent="0.35">
      <c r="A25" s="59">
        <v>48</v>
      </c>
      <c r="B25" s="2" t="s">
        <v>100</v>
      </c>
      <c r="C25" s="298" t="s">
        <v>154</v>
      </c>
      <c r="D25" s="298"/>
      <c r="E25" s="298"/>
      <c r="F25" s="298"/>
      <c r="G25" s="298"/>
      <c r="H25" s="299"/>
    </row>
    <row r="26" spans="1:14" x14ac:dyDescent="0.35">
      <c r="A26" s="59">
        <v>96</v>
      </c>
      <c r="B26" s="7" t="s">
        <v>99</v>
      </c>
      <c r="C26" s="300" t="s">
        <v>156</v>
      </c>
      <c r="D26" s="300"/>
      <c r="E26" s="300"/>
      <c r="F26" s="300"/>
      <c r="G26" s="300"/>
      <c r="H26" s="301"/>
    </row>
    <row r="27" spans="1:14" x14ac:dyDescent="0.35">
      <c r="A27" s="59">
        <v>192</v>
      </c>
      <c r="B27" s="2" t="s">
        <v>98</v>
      </c>
      <c r="C27" s="298" t="s">
        <v>103</v>
      </c>
      <c r="D27" s="298"/>
      <c r="E27" s="298"/>
      <c r="F27" s="298"/>
      <c r="G27" s="298"/>
      <c r="H27" s="299"/>
    </row>
    <row r="28" spans="1:14" x14ac:dyDescent="0.35">
      <c r="A28" s="59">
        <v>384</v>
      </c>
      <c r="B28" s="7" t="s">
        <v>149</v>
      </c>
      <c r="C28" s="300" t="s">
        <v>157</v>
      </c>
      <c r="D28" s="300"/>
      <c r="E28" s="300"/>
      <c r="F28" s="300"/>
      <c r="G28" s="300"/>
      <c r="H28" s="301"/>
    </row>
    <row r="29" spans="1:14" ht="15" thickBot="1" x14ac:dyDescent="0.4">
      <c r="A29" s="60">
        <v>768</v>
      </c>
      <c r="B29" s="4" t="s">
        <v>158</v>
      </c>
      <c r="C29" s="294" t="s">
        <v>159</v>
      </c>
      <c r="D29" s="294"/>
      <c r="E29" s="294"/>
      <c r="F29" s="294"/>
      <c r="G29" s="294"/>
      <c r="H29" s="295"/>
    </row>
    <row r="30" spans="1:14" ht="4.5" customHeight="1" thickBot="1" x14ac:dyDescent="0.4"/>
    <row r="31" spans="1:14" x14ac:dyDescent="0.35">
      <c r="A31" s="302" t="s">
        <v>106</v>
      </c>
      <c r="B31" s="303"/>
      <c r="C31" s="303"/>
      <c r="D31" s="304"/>
    </row>
    <row r="32" spans="1:14" ht="15" thickBot="1" x14ac:dyDescent="0.4">
      <c r="A32" s="36" t="s">
        <v>25</v>
      </c>
      <c r="B32" s="37" t="s">
        <v>15</v>
      </c>
      <c r="C32" s="37" t="s">
        <v>105</v>
      </c>
      <c r="D32" s="41" t="s">
        <v>129</v>
      </c>
    </row>
    <row r="33" spans="1:4" x14ac:dyDescent="0.35">
      <c r="A33" s="61">
        <v>0</v>
      </c>
      <c r="B33" s="38" t="s">
        <v>107</v>
      </c>
      <c r="C33" s="38" t="s">
        <v>107</v>
      </c>
      <c r="D33" s="39" t="s">
        <v>107</v>
      </c>
    </row>
    <row r="34" spans="1:4" x14ac:dyDescent="0.35">
      <c r="A34" s="61">
        <v>1</v>
      </c>
      <c r="B34" s="38" t="s">
        <v>107</v>
      </c>
      <c r="C34" s="38" t="s">
        <v>107</v>
      </c>
      <c r="D34" s="42">
        <v>1</v>
      </c>
    </row>
    <row r="35" spans="1:4" x14ac:dyDescent="0.35">
      <c r="A35" s="61">
        <v>2</v>
      </c>
      <c r="B35" s="38" t="s">
        <v>107</v>
      </c>
      <c r="C35" s="5">
        <v>1</v>
      </c>
      <c r="D35" s="39">
        <v>2</v>
      </c>
    </row>
    <row r="36" spans="1:4" x14ac:dyDescent="0.35">
      <c r="A36" s="61">
        <v>3</v>
      </c>
      <c r="B36" s="5">
        <v>1</v>
      </c>
      <c r="C36" s="38" t="s">
        <v>107</v>
      </c>
      <c r="D36" s="39">
        <v>3</v>
      </c>
    </row>
    <row r="37" spans="1:4" x14ac:dyDescent="0.35">
      <c r="A37" s="61">
        <v>4</v>
      </c>
      <c r="B37" s="38" t="s">
        <v>107</v>
      </c>
      <c r="C37" s="5">
        <v>2</v>
      </c>
      <c r="D37" s="39">
        <v>4</v>
      </c>
    </row>
    <row r="38" spans="1:4" x14ac:dyDescent="0.35">
      <c r="A38" s="61">
        <v>5</v>
      </c>
      <c r="B38" s="38" t="s">
        <v>107</v>
      </c>
      <c r="C38" s="38" t="s">
        <v>107</v>
      </c>
      <c r="D38" s="39">
        <v>5</v>
      </c>
    </row>
    <row r="39" spans="1:4" x14ac:dyDescent="0.35">
      <c r="A39" s="61">
        <v>6</v>
      </c>
      <c r="B39" s="5">
        <v>2</v>
      </c>
      <c r="C39" s="5">
        <v>3</v>
      </c>
      <c r="D39" s="39">
        <v>6</v>
      </c>
    </row>
    <row r="40" spans="1:4" x14ac:dyDescent="0.35">
      <c r="A40" s="61">
        <v>7</v>
      </c>
      <c r="B40" s="38" t="s">
        <v>107</v>
      </c>
      <c r="C40" s="38" t="s">
        <v>107</v>
      </c>
      <c r="D40" s="39">
        <v>7</v>
      </c>
    </row>
    <row r="41" spans="1:4" x14ac:dyDescent="0.35">
      <c r="A41" s="61">
        <v>8</v>
      </c>
      <c r="B41" s="38" t="s">
        <v>107</v>
      </c>
      <c r="C41" s="5">
        <v>4</v>
      </c>
      <c r="D41" s="39">
        <v>8</v>
      </c>
    </row>
    <row r="42" spans="1:4" x14ac:dyDescent="0.35">
      <c r="A42" s="61">
        <v>9</v>
      </c>
      <c r="B42" s="5">
        <v>3</v>
      </c>
      <c r="C42" s="38" t="s">
        <v>107</v>
      </c>
      <c r="D42" s="39">
        <v>9</v>
      </c>
    </row>
    <row r="43" spans="1:4" x14ac:dyDescent="0.35">
      <c r="A43" s="61">
        <v>10</v>
      </c>
      <c r="B43" s="38" t="s">
        <v>107</v>
      </c>
      <c r="C43" s="5">
        <v>5</v>
      </c>
      <c r="D43" s="39">
        <v>10</v>
      </c>
    </row>
    <row r="44" spans="1:4" x14ac:dyDescent="0.35">
      <c r="A44" s="61">
        <v>11</v>
      </c>
      <c r="B44" s="38" t="s">
        <v>107</v>
      </c>
      <c r="C44" s="38" t="s">
        <v>107</v>
      </c>
      <c r="D44" s="39">
        <v>11</v>
      </c>
    </row>
    <row r="45" spans="1:4" ht="15" thickBot="1" x14ac:dyDescent="0.4">
      <c r="A45" s="36">
        <v>12</v>
      </c>
      <c r="B45" s="6">
        <v>4</v>
      </c>
      <c r="C45" s="6">
        <v>6</v>
      </c>
      <c r="D45" s="40">
        <v>12</v>
      </c>
    </row>
  </sheetData>
  <sheetProtection algorithmName="SHA-512" hashValue="ULGoeXuPk9gnWgLR9fuKnBnJWNIpsHmk8fK2ROzU2jdbdKv5pXBPmIDACh4U6E+ug0wXhM9gg5n0CqPbo2PiDw==" saltValue="ydSVVN6s9hO8ubsiBvdp0w==" spinCount="100000" sheet="1" objects="1" scenarios="1"/>
  <mergeCells count="29">
    <mergeCell ref="A31:D31"/>
    <mergeCell ref="B1:I1"/>
    <mergeCell ref="C26:H26"/>
    <mergeCell ref="C14:I14"/>
    <mergeCell ref="C2:I2"/>
    <mergeCell ref="C3:I3"/>
    <mergeCell ref="C4:I4"/>
    <mergeCell ref="C5:I5"/>
    <mergeCell ref="C6:I6"/>
    <mergeCell ref="C7:I7"/>
    <mergeCell ref="C8:I8"/>
    <mergeCell ref="C9:I9"/>
    <mergeCell ref="C10:I10"/>
    <mergeCell ref="C11:I11"/>
    <mergeCell ref="C12:I12"/>
    <mergeCell ref="C13:I13"/>
    <mergeCell ref="C29:H29"/>
    <mergeCell ref="B16:H16"/>
    <mergeCell ref="C21:H21"/>
    <mergeCell ref="C22:H22"/>
    <mergeCell ref="C23:H23"/>
    <mergeCell ref="C24:H24"/>
    <mergeCell ref="C25:H25"/>
    <mergeCell ref="C17:H17"/>
    <mergeCell ref="C18:H18"/>
    <mergeCell ref="C19:H19"/>
    <mergeCell ref="C20:H20"/>
    <mergeCell ref="C27:H27"/>
    <mergeCell ref="C28:H2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6916-251F-4730-A892-4FFD0CE165DA}">
  <dimension ref="A1:AJ12"/>
  <sheetViews>
    <sheetView workbookViewId="0">
      <selection activeCell="AA3" sqref="AA3:AE4"/>
    </sheetView>
  </sheetViews>
  <sheetFormatPr defaultRowHeight="14.5" x14ac:dyDescent="0.35"/>
  <cols>
    <col min="1" max="21" width="4.08203125" customWidth="1"/>
    <col min="22" max="36" width="5" customWidth="1"/>
  </cols>
  <sheetData>
    <row r="1" spans="1:36" x14ac:dyDescent="0.35">
      <c r="A1" s="292" t="s">
        <v>26</v>
      </c>
      <c r="B1" s="292"/>
      <c r="C1" s="292"/>
      <c r="D1" s="292"/>
      <c r="E1" s="292"/>
      <c r="F1" s="292"/>
      <c r="G1" s="292"/>
      <c r="H1" s="292"/>
      <c r="I1" s="292"/>
      <c r="J1" s="292"/>
      <c r="K1" s="292"/>
      <c r="L1" s="292"/>
      <c r="M1" s="292"/>
      <c r="N1" s="292"/>
      <c r="O1" s="292"/>
      <c r="P1" s="292"/>
      <c r="Q1" s="292"/>
      <c r="R1" s="292"/>
      <c r="S1" s="292"/>
      <c r="T1" s="292"/>
      <c r="U1" s="292"/>
      <c r="V1" s="292"/>
      <c r="W1" s="292"/>
      <c r="X1" s="292"/>
      <c r="Y1" s="292"/>
      <c r="Z1" s="292"/>
      <c r="AA1" s="292"/>
      <c r="AB1" s="292"/>
      <c r="AC1" s="292"/>
      <c r="AD1" s="292"/>
      <c r="AE1" s="292"/>
      <c r="AF1" s="292"/>
      <c r="AG1" s="292"/>
      <c r="AH1" s="292"/>
      <c r="AI1" s="292"/>
      <c r="AJ1" s="292"/>
    </row>
    <row r="2" spans="1:36" x14ac:dyDescent="0.35">
      <c r="A2" s="319" t="s">
        <v>64</v>
      </c>
      <c r="B2" s="319"/>
      <c r="C2" s="319"/>
      <c r="D2" s="319"/>
      <c r="E2" s="319"/>
      <c r="F2" s="319"/>
      <c r="G2" s="319"/>
      <c r="H2" s="319"/>
      <c r="I2" s="319"/>
      <c r="J2" s="319"/>
      <c r="K2" s="319"/>
      <c r="L2" s="319"/>
      <c r="M2" s="319"/>
      <c r="N2" s="319"/>
      <c r="O2" s="319"/>
      <c r="P2" s="319"/>
      <c r="Q2" s="319"/>
      <c r="R2" s="319"/>
      <c r="S2" s="319"/>
      <c r="T2" s="319"/>
      <c r="U2" s="319"/>
      <c r="V2" s="320" t="s">
        <v>164</v>
      </c>
      <c r="W2" s="320"/>
      <c r="X2" s="320"/>
      <c r="Y2" s="320"/>
      <c r="Z2" s="320"/>
      <c r="AA2" s="320" t="s">
        <v>165</v>
      </c>
      <c r="AB2" s="320"/>
      <c r="AC2" s="320"/>
      <c r="AD2" s="320"/>
      <c r="AE2" s="320"/>
      <c r="AF2" s="319" t="s">
        <v>25</v>
      </c>
      <c r="AG2" s="319"/>
      <c r="AH2" s="319"/>
      <c r="AI2" s="319"/>
      <c r="AJ2" s="319"/>
    </row>
    <row r="3" spans="1:36" x14ac:dyDescent="0.35">
      <c r="A3" s="308" t="s">
        <v>59</v>
      </c>
      <c r="B3" s="309"/>
      <c r="C3" s="309"/>
      <c r="D3" s="309"/>
      <c r="E3" s="309"/>
      <c r="F3" s="309"/>
      <c r="G3" s="309"/>
      <c r="H3" s="309"/>
      <c r="I3" s="309"/>
      <c r="J3" s="309"/>
      <c r="K3" s="309"/>
      <c r="L3" s="309"/>
      <c r="M3" s="309"/>
      <c r="N3" s="309"/>
      <c r="O3" s="309"/>
      <c r="P3" s="309"/>
      <c r="Q3" s="309"/>
      <c r="R3" s="309"/>
      <c r="S3" s="309"/>
      <c r="T3" s="309"/>
      <c r="U3" s="310"/>
      <c r="V3" s="314">
        <v>3</v>
      </c>
      <c r="W3" s="314"/>
      <c r="X3" s="314"/>
      <c r="Y3" s="314"/>
      <c r="Z3" s="314"/>
      <c r="AA3" s="314">
        <v>2</v>
      </c>
      <c r="AB3" s="314"/>
      <c r="AC3" s="314"/>
      <c r="AD3" s="314"/>
      <c r="AE3" s="314"/>
      <c r="AF3" s="315">
        <v>0</v>
      </c>
      <c r="AG3" s="315"/>
      <c r="AH3" s="315"/>
      <c r="AI3" s="315"/>
      <c r="AJ3" s="316"/>
    </row>
    <row r="4" spans="1:36" x14ac:dyDescent="0.35">
      <c r="A4" s="311"/>
      <c r="B4" s="312"/>
      <c r="C4" s="312"/>
      <c r="D4" s="312"/>
      <c r="E4" s="312"/>
      <c r="F4" s="312"/>
      <c r="G4" s="312"/>
      <c r="H4" s="312"/>
      <c r="I4" s="312"/>
      <c r="J4" s="312"/>
      <c r="K4" s="312"/>
      <c r="L4" s="312"/>
      <c r="M4" s="312"/>
      <c r="N4" s="312"/>
      <c r="O4" s="312"/>
      <c r="P4" s="312"/>
      <c r="Q4" s="312"/>
      <c r="R4" s="312"/>
      <c r="S4" s="312"/>
      <c r="T4" s="312"/>
      <c r="U4" s="313"/>
      <c r="V4" s="314"/>
      <c r="W4" s="314"/>
      <c r="X4" s="314"/>
      <c r="Y4" s="314"/>
      <c r="Z4" s="314"/>
      <c r="AA4" s="314"/>
      <c r="AB4" s="314"/>
      <c r="AC4" s="314"/>
      <c r="AD4" s="314"/>
      <c r="AE4" s="314"/>
      <c r="AF4" s="317"/>
      <c r="AG4" s="317"/>
      <c r="AH4" s="317"/>
      <c r="AI4" s="317"/>
      <c r="AJ4" s="318"/>
    </row>
    <row r="5" spans="1:36" x14ac:dyDescent="0.35">
      <c r="A5" s="308" t="s">
        <v>60</v>
      </c>
      <c r="B5" s="309"/>
      <c r="C5" s="309"/>
      <c r="D5" s="309"/>
      <c r="E5" s="309"/>
      <c r="F5" s="309"/>
      <c r="G5" s="309"/>
      <c r="H5" s="309"/>
      <c r="I5" s="309"/>
      <c r="J5" s="309"/>
      <c r="K5" s="309"/>
      <c r="L5" s="309"/>
      <c r="M5" s="309"/>
      <c r="N5" s="309"/>
      <c r="O5" s="309"/>
      <c r="P5" s="309"/>
      <c r="Q5" s="309"/>
      <c r="R5" s="309"/>
      <c r="S5" s="309"/>
      <c r="T5" s="309"/>
      <c r="U5" s="310"/>
      <c r="V5" s="314">
        <v>1</v>
      </c>
      <c r="W5" s="314"/>
      <c r="X5" s="314"/>
      <c r="Y5" s="314"/>
      <c r="Z5" s="314"/>
      <c r="AA5" s="314">
        <v>0</v>
      </c>
      <c r="AB5" s="314"/>
      <c r="AC5" s="314"/>
      <c r="AD5" s="314"/>
      <c r="AE5" s="314"/>
      <c r="AF5" s="321">
        <v>0</v>
      </c>
      <c r="AG5" s="315"/>
      <c r="AH5" s="315"/>
      <c r="AI5" s="315"/>
      <c r="AJ5" s="316"/>
    </row>
    <row r="6" spans="1:36" x14ac:dyDescent="0.35">
      <c r="A6" s="311"/>
      <c r="B6" s="312"/>
      <c r="C6" s="312"/>
      <c r="D6" s="312"/>
      <c r="E6" s="312"/>
      <c r="F6" s="312"/>
      <c r="G6" s="312"/>
      <c r="H6" s="312"/>
      <c r="I6" s="312"/>
      <c r="J6" s="312"/>
      <c r="K6" s="312"/>
      <c r="L6" s="312"/>
      <c r="M6" s="312"/>
      <c r="N6" s="312"/>
      <c r="O6" s="312"/>
      <c r="P6" s="312"/>
      <c r="Q6" s="312"/>
      <c r="R6" s="312"/>
      <c r="S6" s="312"/>
      <c r="T6" s="312"/>
      <c r="U6" s="313"/>
      <c r="V6" s="314"/>
      <c r="W6" s="314"/>
      <c r="X6" s="314"/>
      <c r="Y6" s="314"/>
      <c r="Z6" s="314"/>
      <c r="AA6" s="314"/>
      <c r="AB6" s="314"/>
      <c r="AC6" s="314"/>
      <c r="AD6" s="314"/>
      <c r="AE6" s="314"/>
      <c r="AF6" s="322"/>
      <c r="AG6" s="317"/>
      <c r="AH6" s="317"/>
      <c r="AI6" s="317"/>
      <c r="AJ6" s="318"/>
    </row>
    <row r="7" spans="1:36" x14ac:dyDescent="0.35">
      <c r="A7" s="308" t="s">
        <v>61</v>
      </c>
      <c r="B7" s="309"/>
      <c r="C7" s="309"/>
      <c r="D7" s="309"/>
      <c r="E7" s="309"/>
      <c r="F7" s="309"/>
      <c r="G7" s="309"/>
      <c r="H7" s="309"/>
      <c r="I7" s="309"/>
      <c r="J7" s="309"/>
      <c r="K7" s="309"/>
      <c r="L7" s="309"/>
      <c r="M7" s="309"/>
      <c r="N7" s="309"/>
      <c r="O7" s="309"/>
      <c r="P7" s="309"/>
      <c r="Q7" s="309"/>
      <c r="R7" s="309"/>
      <c r="S7" s="309"/>
      <c r="T7" s="309"/>
      <c r="U7" s="310"/>
      <c r="V7" s="314">
        <v>4</v>
      </c>
      <c r="W7" s="314"/>
      <c r="X7" s="314"/>
      <c r="Y7" s="314"/>
      <c r="Z7" s="314"/>
      <c r="AA7" s="314">
        <v>3</v>
      </c>
      <c r="AB7" s="314"/>
      <c r="AC7" s="314"/>
      <c r="AD7" s="314"/>
      <c r="AE7" s="314"/>
      <c r="AF7" s="321">
        <v>0</v>
      </c>
      <c r="AG7" s="315"/>
      <c r="AH7" s="315"/>
      <c r="AI7" s="315"/>
      <c r="AJ7" s="316"/>
    </row>
    <row r="8" spans="1:36" x14ac:dyDescent="0.35">
      <c r="A8" s="311"/>
      <c r="B8" s="312"/>
      <c r="C8" s="312"/>
      <c r="D8" s="312"/>
      <c r="E8" s="312"/>
      <c r="F8" s="312"/>
      <c r="G8" s="312"/>
      <c r="H8" s="312"/>
      <c r="I8" s="312"/>
      <c r="J8" s="312"/>
      <c r="K8" s="312"/>
      <c r="L8" s="312"/>
      <c r="M8" s="312"/>
      <c r="N8" s="312"/>
      <c r="O8" s="312"/>
      <c r="P8" s="312"/>
      <c r="Q8" s="312"/>
      <c r="R8" s="312"/>
      <c r="S8" s="312"/>
      <c r="T8" s="312"/>
      <c r="U8" s="313"/>
      <c r="V8" s="314"/>
      <c r="W8" s="314"/>
      <c r="X8" s="314"/>
      <c r="Y8" s="314"/>
      <c r="Z8" s="314"/>
      <c r="AA8" s="314"/>
      <c r="AB8" s="314"/>
      <c r="AC8" s="314"/>
      <c r="AD8" s="314"/>
      <c r="AE8" s="314"/>
      <c r="AF8" s="322"/>
      <c r="AG8" s="317"/>
      <c r="AH8" s="317"/>
      <c r="AI8" s="317"/>
      <c r="AJ8" s="318"/>
    </row>
    <row r="9" spans="1:36" x14ac:dyDescent="0.35">
      <c r="A9" s="308" t="s">
        <v>62</v>
      </c>
      <c r="B9" s="309"/>
      <c r="C9" s="309"/>
      <c r="D9" s="309"/>
      <c r="E9" s="309"/>
      <c r="F9" s="309"/>
      <c r="G9" s="309"/>
      <c r="H9" s="309"/>
      <c r="I9" s="309"/>
      <c r="J9" s="309"/>
      <c r="K9" s="309"/>
      <c r="L9" s="309"/>
      <c r="M9" s="309"/>
      <c r="N9" s="309"/>
      <c r="O9" s="309"/>
      <c r="P9" s="309"/>
      <c r="Q9" s="309"/>
      <c r="R9" s="309"/>
      <c r="S9" s="309"/>
      <c r="T9" s="309"/>
      <c r="U9" s="310"/>
      <c r="V9" s="314">
        <v>2</v>
      </c>
      <c r="W9" s="314"/>
      <c r="X9" s="314"/>
      <c r="Y9" s="314"/>
      <c r="Z9" s="314"/>
      <c r="AA9" s="314">
        <v>1</v>
      </c>
      <c r="AB9" s="314"/>
      <c r="AC9" s="314"/>
      <c r="AD9" s="314"/>
      <c r="AE9" s="314"/>
      <c r="AF9" s="321">
        <v>0</v>
      </c>
      <c r="AG9" s="315"/>
      <c r="AH9" s="315"/>
      <c r="AI9" s="315"/>
      <c r="AJ9" s="316"/>
    </row>
    <row r="10" spans="1:36" x14ac:dyDescent="0.35">
      <c r="A10" s="311"/>
      <c r="B10" s="312"/>
      <c r="C10" s="312"/>
      <c r="D10" s="312"/>
      <c r="E10" s="312"/>
      <c r="F10" s="312"/>
      <c r="G10" s="312"/>
      <c r="H10" s="312"/>
      <c r="I10" s="312"/>
      <c r="J10" s="312"/>
      <c r="K10" s="312"/>
      <c r="L10" s="312"/>
      <c r="M10" s="312"/>
      <c r="N10" s="312"/>
      <c r="O10" s="312"/>
      <c r="P10" s="312"/>
      <c r="Q10" s="312"/>
      <c r="R10" s="312"/>
      <c r="S10" s="312"/>
      <c r="T10" s="312"/>
      <c r="U10" s="313"/>
      <c r="V10" s="314"/>
      <c r="W10" s="314"/>
      <c r="X10" s="314"/>
      <c r="Y10" s="314"/>
      <c r="Z10" s="314"/>
      <c r="AA10" s="314"/>
      <c r="AB10" s="314"/>
      <c r="AC10" s="314"/>
      <c r="AD10" s="314"/>
      <c r="AE10" s="314"/>
      <c r="AF10" s="322"/>
      <c r="AG10" s="317"/>
      <c r="AH10" s="317"/>
      <c r="AI10" s="317"/>
      <c r="AJ10" s="318"/>
    </row>
    <row r="11" spans="1:36" x14ac:dyDescent="0.35">
      <c r="A11" s="308" t="s">
        <v>63</v>
      </c>
      <c r="B11" s="309"/>
      <c r="C11" s="309"/>
      <c r="D11" s="309"/>
      <c r="E11" s="309"/>
      <c r="F11" s="309"/>
      <c r="G11" s="309"/>
      <c r="H11" s="309"/>
      <c r="I11" s="309"/>
      <c r="J11" s="309"/>
      <c r="K11" s="309"/>
      <c r="L11" s="309"/>
      <c r="M11" s="309"/>
      <c r="N11" s="309"/>
      <c r="O11" s="309"/>
      <c r="P11" s="309"/>
      <c r="Q11" s="309"/>
      <c r="R11" s="309"/>
      <c r="S11" s="309"/>
      <c r="T11" s="309"/>
      <c r="U11" s="310"/>
      <c r="V11" s="314">
        <v>2</v>
      </c>
      <c r="W11" s="314"/>
      <c r="X11" s="314"/>
      <c r="Y11" s="314"/>
      <c r="Z11" s="314"/>
      <c r="AA11" s="314">
        <v>0</v>
      </c>
      <c r="AB11" s="314"/>
      <c r="AC11" s="314"/>
      <c r="AD11" s="314"/>
      <c r="AE11" s="314"/>
      <c r="AF11" s="321">
        <v>0</v>
      </c>
      <c r="AG11" s="315"/>
      <c r="AH11" s="315"/>
      <c r="AI11" s="315"/>
      <c r="AJ11" s="316"/>
    </row>
    <row r="12" spans="1:36" x14ac:dyDescent="0.35">
      <c r="A12" s="311"/>
      <c r="B12" s="312"/>
      <c r="C12" s="312"/>
      <c r="D12" s="312"/>
      <c r="E12" s="312"/>
      <c r="F12" s="312"/>
      <c r="G12" s="312"/>
      <c r="H12" s="312"/>
      <c r="I12" s="312"/>
      <c r="J12" s="312"/>
      <c r="K12" s="312"/>
      <c r="L12" s="312"/>
      <c r="M12" s="312"/>
      <c r="N12" s="312"/>
      <c r="O12" s="312"/>
      <c r="P12" s="312"/>
      <c r="Q12" s="312"/>
      <c r="R12" s="312"/>
      <c r="S12" s="312"/>
      <c r="T12" s="312"/>
      <c r="U12" s="313"/>
      <c r="V12" s="314"/>
      <c r="W12" s="314"/>
      <c r="X12" s="314"/>
      <c r="Y12" s="314"/>
      <c r="Z12" s="314"/>
      <c r="AA12" s="314"/>
      <c r="AB12" s="314"/>
      <c r="AC12" s="314"/>
      <c r="AD12" s="314"/>
      <c r="AE12" s="314"/>
      <c r="AF12" s="322"/>
      <c r="AG12" s="317"/>
      <c r="AH12" s="317"/>
      <c r="AI12" s="317"/>
      <c r="AJ12" s="318"/>
    </row>
  </sheetData>
  <sheetProtection algorithmName="SHA-512" hashValue="y7GNDoaxi9+lUsLrA2nVeWJvYef+RS3ObdN48OXGUHHgEG99vC7vMCm11T7LvtZsCbHZ96TTx7mNk5lxC6MQ6A==" saltValue="3/72DYnno1AHMGefUkTCwQ==" spinCount="100000" sheet="1" objects="1" scenarios="1"/>
  <mergeCells count="25">
    <mergeCell ref="A9:U10"/>
    <mergeCell ref="V9:Z10"/>
    <mergeCell ref="AA9:AE10"/>
    <mergeCell ref="AF9:AJ10"/>
    <mergeCell ref="A11:U12"/>
    <mergeCell ref="V11:Z12"/>
    <mergeCell ref="AA11:AE12"/>
    <mergeCell ref="AF11:AJ12"/>
    <mergeCell ref="A5:U6"/>
    <mergeCell ref="V5:Z6"/>
    <mergeCell ref="AA5:AE6"/>
    <mergeCell ref="AF5:AJ6"/>
    <mergeCell ref="A7:U8"/>
    <mergeCell ref="V7:Z8"/>
    <mergeCell ref="AA7:AE8"/>
    <mergeCell ref="AF7:AJ8"/>
    <mergeCell ref="A3:U4"/>
    <mergeCell ref="V3:Z4"/>
    <mergeCell ref="AA3:AE4"/>
    <mergeCell ref="AF3:AJ4"/>
    <mergeCell ref="A1:AJ1"/>
    <mergeCell ref="A2:U2"/>
    <mergeCell ref="V2:Z2"/>
    <mergeCell ref="AA2:AE2"/>
    <mergeCell ref="AF2:AJ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211</vt:i4>
      </vt:variant>
    </vt:vector>
  </HeadingPairs>
  <TitlesOfParts>
    <vt:vector size="217" baseType="lpstr">
      <vt:lpstr>Doc</vt:lpstr>
      <vt:lpstr>Skill Calcs</vt:lpstr>
      <vt:lpstr>Edge Calcs</vt:lpstr>
      <vt:lpstr>Tier Calcs</vt:lpstr>
      <vt:lpstr>Parameters</vt:lpstr>
      <vt:lpstr>Morals</vt:lpstr>
      <vt:lpstr>_ACTR_1</vt:lpstr>
      <vt:lpstr>_ACTR_2</vt:lpstr>
      <vt:lpstr>_ACTR_3</vt:lpstr>
      <vt:lpstr>_ACTR_4</vt:lpstr>
      <vt:lpstr>_ACTR_5</vt:lpstr>
      <vt:lpstr>_ACTR_6</vt:lpstr>
      <vt:lpstr>_ACTR_7</vt:lpstr>
      <vt:lpstr>_ACTR_8</vt:lpstr>
      <vt:lpstr>_ACTR_9</vt:lpstr>
      <vt:lpstr>_AE_CBulk_1</vt:lpstr>
      <vt:lpstr>_AE_CBulk_2</vt:lpstr>
      <vt:lpstr>_AE_CBulk_3</vt:lpstr>
      <vt:lpstr>_AE_CBulk_4</vt:lpstr>
      <vt:lpstr>_AE_CBulk_5</vt:lpstr>
      <vt:lpstr>_AE_CBulk_6</vt:lpstr>
      <vt:lpstr>_AE_CBulk_7</vt:lpstr>
      <vt:lpstr>_AE_CBulk_8</vt:lpstr>
      <vt:lpstr>_AE_CBulk_9</vt:lpstr>
      <vt:lpstr>_AE_CCost_1</vt:lpstr>
      <vt:lpstr>_AE_CCost_2</vt:lpstr>
      <vt:lpstr>_AE_CCost_3</vt:lpstr>
      <vt:lpstr>_AE_CCost_4</vt:lpstr>
      <vt:lpstr>_AE_CCost_5</vt:lpstr>
      <vt:lpstr>_AE_CCost_6</vt:lpstr>
      <vt:lpstr>_AE_CCost_7</vt:lpstr>
      <vt:lpstr>_AE_CCost_8</vt:lpstr>
      <vt:lpstr>_AE_CCost_9</vt:lpstr>
      <vt:lpstr>_Lang_CTR</vt:lpstr>
      <vt:lpstr>_OCTR_1</vt:lpstr>
      <vt:lpstr>_OCTR_2</vt:lpstr>
      <vt:lpstr>_OCTR_3</vt:lpstr>
      <vt:lpstr>_OCTR_4</vt:lpstr>
      <vt:lpstr>_Sum_Skill_Costs</vt:lpstr>
      <vt:lpstr>A_Area_1</vt:lpstr>
      <vt:lpstr>A_Area_2</vt:lpstr>
      <vt:lpstr>A_Area_3</vt:lpstr>
      <vt:lpstr>A_Area_4</vt:lpstr>
      <vt:lpstr>A_Area_5</vt:lpstr>
      <vt:lpstr>A_Area_6</vt:lpstr>
      <vt:lpstr>A_Area_7</vt:lpstr>
      <vt:lpstr>A_Area_8</vt:lpstr>
      <vt:lpstr>A_Area_9</vt:lpstr>
      <vt:lpstr>A_Bolster_1</vt:lpstr>
      <vt:lpstr>A_Bolster_2</vt:lpstr>
      <vt:lpstr>A_Bolster_3</vt:lpstr>
      <vt:lpstr>A_Bolster_4</vt:lpstr>
      <vt:lpstr>A_Bolster_5</vt:lpstr>
      <vt:lpstr>A_Bolster_6</vt:lpstr>
      <vt:lpstr>A_Bolster_7</vt:lpstr>
      <vt:lpstr>A_Bolster_8</vt:lpstr>
      <vt:lpstr>A_Bolster_9</vt:lpstr>
      <vt:lpstr>A_Boost_1</vt:lpstr>
      <vt:lpstr>A_Boost_2</vt:lpstr>
      <vt:lpstr>A_Boost_3</vt:lpstr>
      <vt:lpstr>A_Boost_4</vt:lpstr>
      <vt:lpstr>A_Boost_5</vt:lpstr>
      <vt:lpstr>A_Boost_6</vt:lpstr>
      <vt:lpstr>A_Boost_7</vt:lpstr>
      <vt:lpstr>A_Boost_8</vt:lpstr>
      <vt:lpstr>A_Boost_9</vt:lpstr>
      <vt:lpstr>A_Bulk_1</vt:lpstr>
      <vt:lpstr>A_Bulk_2</vt:lpstr>
      <vt:lpstr>A_Bulk_3</vt:lpstr>
      <vt:lpstr>A_Bulk_4</vt:lpstr>
      <vt:lpstr>A_Bulk_5</vt:lpstr>
      <vt:lpstr>A_Bulk_6</vt:lpstr>
      <vt:lpstr>A_Bulk_7</vt:lpstr>
      <vt:lpstr>A_Bulk_8</vt:lpstr>
      <vt:lpstr>A_Bulk_9</vt:lpstr>
      <vt:lpstr>A_Dura_1</vt:lpstr>
      <vt:lpstr>A_Dura_2</vt:lpstr>
      <vt:lpstr>A_Dura_3</vt:lpstr>
      <vt:lpstr>A_Dura_4</vt:lpstr>
      <vt:lpstr>A_Dura_5</vt:lpstr>
      <vt:lpstr>A_Dura_6</vt:lpstr>
      <vt:lpstr>A_Dura_7</vt:lpstr>
      <vt:lpstr>A_Dura_8</vt:lpstr>
      <vt:lpstr>A_Dura_9</vt:lpstr>
      <vt:lpstr>A_Enhance_1</vt:lpstr>
      <vt:lpstr>A_Enhance_2</vt:lpstr>
      <vt:lpstr>A_Enhance_3</vt:lpstr>
      <vt:lpstr>A_Enhance_4</vt:lpstr>
      <vt:lpstr>A_Enhance_5</vt:lpstr>
      <vt:lpstr>A_Enhance_6</vt:lpstr>
      <vt:lpstr>A_Enhance_7</vt:lpstr>
      <vt:lpstr>A_Enhance_8</vt:lpstr>
      <vt:lpstr>A_Enhance_9</vt:lpstr>
      <vt:lpstr>A_Potency_1</vt:lpstr>
      <vt:lpstr>A_Potency_2</vt:lpstr>
      <vt:lpstr>A_Potency_3</vt:lpstr>
      <vt:lpstr>A_Potency_4</vt:lpstr>
      <vt:lpstr>A_Potency_5</vt:lpstr>
      <vt:lpstr>A_Potency_6</vt:lpstr>
      <vt:lpstr>A_Potency_7</vt:lpstr>
      <vt:lpstr>A_Potency_8</vt:lpstr>
      <vt:lpstr>A_Potency_9</vt:lpstr>
      <vt:lpstr>A_Range_1</vt:lpstr>
      <vt:lpstr>A_Range_2</vt:lpstr>
      <vt:lpstr>A_Range_3</vt:lpstr>
      <vt:lpstr>A_Range_4</vt:lpstr>
      <vt:lpstr>A_Range_5</vt:lpstr>
      <vt:lpstr>A_Range_6</vt:lpstr>
      <vt:lpstr>A_Range_7</vt:lpstr>
      <vt:lpstr>A_Range_8</vt:lpstr>
      <vt:lpstr>A_Range_9</vt:lpstr>
      <vt:lpstr>A_Sleek_1</vt:lpstr>
      <vt:lpstr>A_Sleek_2</vt:lpstr>
      <vt:lpstr>A_Sleek_3</vt:lpstr>
      <vt:lpstr>A_Sleek_4</vt:lpstr>
      <vt:lpstr>A_Sleek_5</vt:lpstr>
      <vt:lpstr>A_Sleek_6</vt:lpstr>
      <vt:lpstr>A_Sleek_7</vt:lpstr>
      <vt:lpstr>A_Sleek_8</vt:lpstr>
      <vt:lpstr>A_Sleek_9</vt:lpstr>
      <vt:lpstr>A_SR_1</vt:lpstr>
      <vt:lpstr>A_SR_2</vt:lpstr>
      <vt:lpstr>A_SR_3</vt:lpstr>
      <vt:lpstr>A_SR_4</vt:lpstr>
      <vt:lpstr>A_SR_5</vt:lpstr>
      <vt:lpstr>A_SR_6</vt:lpstr>
      <vt:lpstr>A_SR_7</vt:lpstr>
      <vt:lpstr>A_SR_8</vt:lpstr>
      <vt:lpstr>A_SR_9</vt:lpstr>
      <vt:lpstr>A_TN_1</vt:lpstr>
      <vt:lpstr>A_TN_2</vt:lpstr>
      <vt:lpstr>A_TN_3</vt:lpstr>
      <vt:lpstr>A_TN_4</vt:lpstr>
      <vt:lpstr>A_TN_5</vt:lpstr>
      <vt:lpstr>A_TN_6</vt:lpstr>
      <vt:lpstr>A_TN_7</vt:lpstr>
      <vt:lpstr>A_TN_8</vt:lpstr>
      <vt:lpstr>A_TN_9</vt:lpstr>
      <vt:lpstr>AE_Cost_1</vt:lpstr>
      <vt:lpstr>AE_Cost_2</vt:lpstr>
      <vt:lpstr>AE_Cost_3</vt:lpstr>
      <vt:lpstr>AE_Cost_4</vt:lpstr>
      <vt:lpstr>AE_Cost_5</vt:lpstr>
      <vt:lpstr>AE_Cost_6</vt:lpstr>
      <vt:lpstr>AE_Cost_7</vt:lpstr>
      <vt:lpstr>AE_Cost_8</vt:lpstr>
      <vt:lpstr>AE_Cost_9</vt:lpstr>
      <vt:lpstr>AR_Bulk</vt:lpstr>
      <vt:lpstr>AR_Cost</vt:lpstr>
      <vt:lpstr>ATR_1</vt:lpstr>
      <vt:lpstr>ATR_2</vt:lpstr>
      <vt:lpstr>ATR_3</vt:lpstr>
      <vt:lpstr>ATR_4</vt:lpstr>
      <vt:lpstr>ATR_5</vt:lpstr>
      <vt:lpstr>ATR_6</vt:lpstr>
      <vt:lpstr>ATR_7</vt:lpstr>
      <vt:lpstr>ATR_8</vt:lpstr>
      <vt:lpstr>ATR_9</vt:lpstr>
      <vt:lpstr>BroadSkillAspects</vt:lpstr>
      <vt:lpstr>BroadSkills</vt:lpstr>
      <vt:lpstr>EdgeCosts</vt:lpstr>
      <vt:lpstr>GearCosts</vt:lpstr>
      <vt:lpstr>Lang_SR</vt:lpstr>
      <vt:lpstr>Lang_TN</vt:lpstr>
      <vt:lpstr>Lang_TR</vt:lpstr>
      <vt:lpstr>O_Area_1</vt:lpstr>
      <vt:lpstr>O_Area_2</vt:lpstr>
      <vt:lpstr>O_Area_3</vt:lpstr>
      <vt:lpstr>O_Area_4</vt:lpstr>
      <vt:lpstr>O_Bolster_1</vt:lpstr>
      <vt:lpstr>O_Bolster_2</vt:lpstr>
      <vt:lpstr>O_Bolster_3</vt:lpstr>
      <vt:lpstr>O_Bolster_4</vt:lpstr>
      <vt:lpstr>O_Boost_1</vt:lpstr>
      <vt:lpstr>O_Boost_2</vt:lpstr>
      <vt:lpstr>O_Boost_3</vt:lpstr>
      <vt:lpstr>O_Boost_4</vt:lpstr>
      <vt:lpstr>O_Bulk_1</vt:lpstr>
      <vt:lpstr>O_Bulk_2</vt:lpstr>
      <vt:lpstr>O_Bulk_3</vt:lpstr>
      <vt:lpstr>O_Bulk_4</vt:lpstr>
      <vt:lpstr>O_Dura_1</vt:lpstr>
      <vt:lpstr>O_Dura_2</vt:lpstr>
      <vt:lpstr>O_Dura_3</vt:lpstr>
      <vt:lpstr>O_Dura_4</vt:lpstr>
      <vt:lpstr>O_Enhance_1</vt:lpstr>
      <vt:lpstr>O_Enhance_2</vt:lpstr>
      <vt:lpstr>O_Enhance_3</vt:lpstr>
      <vt:lpstr>O_Enhance_4</vt:lpstr>
      <vt:lpstr>O_Potency_1</vt:lpstr>
      <vt:lpstr>O_Potency_2</vt:lpstr>
      <vt:lpstr>O_Potency_3</vt:lpstr>
      <vt:lpstr>O_Potency_4</vt:lpstr>
      <vt:lpstr>O_Range_1</vt:lpstr>
      <vt:lpstr>O_Range_2</vt:lpstr>
      <vt:lpstr>O_Range_3</vt:lpstr>
      <vt:lpstr>O_Range_4</vt:lpstr>
      <vt:lpstr>O_Sleek_1</vt:lpstr>
      <vt:lpstr>O_Sleek_2</vt:lpstr>
      <vt:lpstr>O_Sleek_3</vt:lpstr>
      <vt:lpstr>O_Sleek_4</vt:lpstr>
      <vt:lpstr>O_SR_1</vt:lpstr>
      <vt:lpstr>O_SR_2</vt:lpstr>
      <vt:lpstr>O_SR_3</vt:lpstr>
      <vt:lpstr>O_SR_4</vt:lpstr>
      <vt:lpstr>O_TN_1</vt:lpstr>
      <vt:lpstr>O_TN_2</vt:lpstr>
      <vt:lpstr>O_TN_3</vt:lpstr>
      <vt:lpstr>O_TN_4</vt:lpstr>
      <vt:lpstr>O_TR_1</vt:lpstr>
      <vt:lpstr>O_TR_2</vt:lpstr>
      <vt:lpstr>O_TR_3</vt:lpstr>
      <vt:lpstr>O_TR_4</vt:lpstr>
      <vt:lpstr>OE_Cost_1</vt:lpstr>
      <vt:lpstr>OE_Cost_2</vt:lpstr>
      <vt:lpstr>OE_Cost_3</vt:lpstr>
      <vt:lpstr>OE_Cost_4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Cid Bastian</dc:creator>
  <cp:lastModifiedBy>Cid Bastian</cp:lastModifiedBy>
  <cp:lastPrinted>2022-01-20T12:53:59Z</cp:lastPrinted>
  <dcterms:created xsi:type="dcterms:W3CDTF">2021-12-15T12:28:39Z</dcterms:created>
  <dcterms:modified xsi:type="dcterms:W3CDTF">2022-01-20T12:54:29Z</dcterms:modified>
</cp:coreProperties>
</file>