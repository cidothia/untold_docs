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https://d.docs.live.net/43d0be08dd303885/Documents/RPG/Untold RPG/"/>
    </mc:Choice>
  </mc:AlternateContent>
  <xr:revisionPtr revIDLastSave="21" documentId="8_{C2E244FD-FA6A-4450-A1C8-794012EAE72A}" xr6:coauthVersionLast="47" xr6:coauthVersionMax="47" xr10:uidLastSave="{DF8750DD-3E3D-4157-B68F-0CF75C0B6107}"/>
  <bookViews>
    <workbookView xWindow="1870" yWindow="1870" windowWidth="28800" windowHeight="18930" activeTab="6" xr2:uid="{B08EC5AE-2733-4F38-B4CD-D3B7BD12B24B}"/>
  </bookViews>
  <sheets>
    <sheet name="Generate" sheetId="7" r:id="rId1"/>
    <sheet name="Doc" sheetId="1" r:id="rId2"/>
    <sheet name="Skill Calcs" sheetId="3" r:id="rId3"/>
    <sheet name="Skill Data" sheetId="8" r:id="rId4"/>
    <sheet name="Tier Calcs" sheetId="6" r:id="rId5"/>
    <sheet name="Parameters" sheetId="5" r:id="rId6"/>
    <sheet name="Rules" sheetId="2" r:id="rId7"/>
  </sheets>
  <definedNames>
    <definedName name="_CTier_1">'Skill Calcs'!$Q$2</definedName>
    <definedName name="_CTR_1">'Skill Calcs'!$Q$2</definedName>
    <definedName name="_CTR_2">'Skill Calcs'!$Q$3</definedName>
    <definedName name="_CTR_3">'Skill Calcs'!$Q$4</definedName>
    <definedName name="_CTR_4">'Skill Calcs'!$Q$5</definedName>
    <definedName name="_CTR_5">'Skill Calcs'!$Q$6</definedName>
    <definedName name="_CTR_6">'Skill Calcs'!$Q$7</definedName>
    <definedName name="_CTR_7">'Skill Calcs'!$Q$8</definedName>
    <definedName name="_CTR_8">'Skill Calcs'!$Q$9</definedName>
    <definedName name="_CTR_9">'Skill Calcs'!$Q$10</definedName>
    <definedName name="_S1_Cost">'Skill Calcs'!$S$2</definedName>
    <definedName name="_Sum_Skill_Costs">'Skill Calcs'!$S$11</definedName>
    <definedName name="BodyBaseSkills">'Skill Calcs'!$F$8:$F$15</definedName>
    <definedName name="MindBaseSkills">'Skill Calcs'!$F$2:$F$7</definedName>
    <definedName name="S_TN_1">Doc!$AP$7</definedName>
    <definedName name="S_TN_2">Doc!$AP$17</definedName>
    <definedName name="S_TN_3">Doc!$AP$27</definedName>
    <definedName name="S_TN_4">Doc!$AP$37</definedName>
    <definedName name="S_TN_5">Doc!$AP$47</definedName>
    <definedName name="S_TN_6">Doc!$AP$57</definedName>
    <definedName name="S_TN_7">Doc!$AP$67</definedName>
    <definedName name="S_TN_8">Doc!$AP$77</definedName>
    <definedName name="S_TN_9">Doc!$AP$87</definedName>
    <definedName name="SR_1">Doc!$AH$7</definedName>
    <definedName name="SR_2">Doc!$AH$17</definedName>
    <definedName name="SR_3">Doc!$AH$27</definedName>
    <definedName name="SR_4">Doc!$AH$37</definedName>
    <definedName name="SR_5">Doc!$AH$47</definedName>
    <definedName name="SR_6">Doc!$AH$57</definedName>
    <definedName name="SR_7">Doc!$AH$67</definedName>
    <definedName name="SR_8">Doc!$AH$77</definedName>
    <definedName name="SR_9">Doc!$AH$87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3" l="1"/>
  <c r="AP83" i="1"/>
  <c r="AP73" i="1"/>
  <c r="AP63" i="1"/>
  <c r="AP43" i="1"/>
  <c r="AP13" i="1"/>
  <c r="CA11" i="1"/>
  <c r="A8" i="5"/>
  <c r="A9" i="5" s="1"/>
  <c r="A10" i="5" s="1"/>
  <c r="A11" i="5" s="1"/>
  <c r="A12" i="5" s="1"/>
  <c r="A13" i="5" s="1"/>
  <c r="A14" i="5" s="1"/>
  <c r="G20" i="6"/>
  <c r="H20" i="6"/>
  <c r="I20" i="6"/>
  <c r="J20" i="6"/>
  <c r="K20" i="6"/>
  <c r="M21" i="6"/>
  <c r="C22" i="6"/>
  <c r="D22" i="6"/>
  <c r="E22" i="6"/>
  <c r="H23" i="6"/>
  <c r="I23" i="6"/>
  <c r="J23" i="6"/>
  <c r="C26" i="6"/>
  <c r="D26" i="6"/>
  <c r="E26" i="6"/>
  <c r="F26" i="6"/>
  <c r="G26" i="6"/>
  <c r="H26" i="6"/>
  <c r="I26" i="6"/>
  <c r="C27" i="6"/>
  <c r="E27" i="6"/>
  <c r="H27" i="6"/>
  <c r="I27" i="6"/>
  <c r="J27" i="6"/>
  <c r="K27" i="6"/>
  <c r="L27" i="6"/>
  <c r="M27" i="6"/>
  <c r="C28" i="6"/>
  <c r="H28" i="6"/>
  <c r="J28" i="6"/>
  <c r="M28" i="6"/>
  <c r="C29" i="6"/>
  <c r="D29" i="6"/>
  <c r="E29" i="6"/>
  <c r="F29" i="6"/>
  <c r="G29" i="6"/>
  <c r="H29" i="6"/>
  <c r="D30" i="6"/>
  <c r="E30" i="6"/>
  <c r="G30" i="6"/>
  <c r="H30" i="6"/>
  <c r="I30" i="6"/>
  <c r="J30" i="6"/>
  <c r="K30" i="6"/>
  <c r="L30" i="6"/>
  <c r="M30" i="6"/>
  <c r="B26" i="6"/>
  <c r="C19" i="6"/>
  <c r="D19" i="6"/>
  <c r="E19" i="6"/>
  <c r="F19" i="6"/>
  <c r="G19" i="6"/>
  <c r="B19" i="6"/>
  <c r="L15" i="6"/>
  <c r="I29" i="6" s="1"/>
  <c r="M15" i="6"/>
  <c r="B30" i="6" s="1"/>
  <c r="B15" i="6"/>
  <c r="H19" i="6" s="1"/>
  <c r="C15" i="6"/>
  <c r="L20" i="6" s="1"/>
  <c r="D15" i="6"/>
  <c r="C21" i="6" s="1"/>
  <c r="E15" i="6"/>
  <c r="F22" i="6" s="1"/>
  <c r="F15" i="6"/>
  <c r="K23" i="6" s="1"/>
  <c r="G15" i="6"/>
  <c r="D24" i="6" s="1"/>
  <c r="H15" i="6"/>
  <c r="E25" i="6" s="1"/>
  <c r="I15" i="6"/>
  <c r="J26" i="6" s="1"/>
  <c r="K15" i="6"/>
  <c r="D28" i="6" s="1"/>
  <c r="J15" i="6"/>
  <c r="B27" i="6" s="1"/>
  <c r="BR22" i="1"/>
  <c r="AB87" i="1"/>
  <c r="AB77" i="1"/>
  <c r="AB67" i="1"/>
  <c r="AB57" i="1"/>
  <c r="AB47" i="1"/>
  <c r="AB37" i="1"/>
  <c r="AB27" i="1"/>
  <c r="AB17" i="1"/>
  <c r="AB7" i="1"/>
  <c r="CA33" i="1"/>
  <c r="BI33" i="1"/>
  <c r="BI11" i="1"/>
  <c r="R10" i="3"/>
  <c r="U10" i="3" s="1"/>
  <c r="R9" i="3"/>
  <c r="U9" i="3" s="1"/>
  <c r="R8" i="3"/>
  <c r="U8" i="3" s="1"/>
  <c r="R7" i="3"/>
  <c r="U7" i="3" s="1"/>
  <c r="R6" i="3"/>
  <c r="U6" i="3" s="1"/>
  <c r="R5" i="3"/>
  <c r="U5" i="3" s="1"/>
  <c r="R4" i="3"/>
  <c r="U4" i="3" s="1"/>
  <c r="R3" i="3"/>
  <c r="U3" i="3" s="1"/>
  <c r="R2" i="3"/>
  <c r="U2" i="3" s="1"/>
  <c r="P10" i="3"/>
  <c r="S10" i="3" s="1"/>
  <c r="P9" i="3"/>
  <c r="S9" i="3" s="1"/>
  <c r="P8" i="3"/>
  <c r="S8" i="3" s="1"/>
  <c r="P7" i="3"/>
  <c r="S7" i="3" s="1"/>
  <c r="P6" i="3"/>
  <c r="S6" i="3" s="1"/>
  <c r="P5" i="3"/>
  <c r="S5" i="3" s="1"/>
  <c r="P4" i="3"/>
  <c r="S4" i="3" s="1"/>
  <c r="P3" i="3"/>
  <c r="S3" i="3" s="1"/>
  <c r="P2" i="3"/>
  <c r="S2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T2" i="3" l="1"/>
  <c r="Q2" i="3" s="1" a="1"/>
  <c r="Q2" i="3" s="1"/>
  <c r="AL7" i="1" s="1"/>
  <c r="T4" i="3"/>
  <c r="T9" i="3"/>
  <c r="T8" i="3"/>
  <c r="T7" i="3"/>
  <c r="T6" i="3"/>
  <c r="T5" i="3"/>
  <c r="T3" i="3"/>
  <c r="T10" i="3"/>
  <c r="L24" i="6"/>
  <c r="L21" i="6"/>
  <c r="B20" i="6"/>
  <c r="K21" i="6"/>
  <c r="B21" i="6"/>
  <c r="I24" i="6"/>
  <c r="D23" i="6"/>
  <c r="E20" i="6"/>
  <c r="F20" i="6"/>
  <c r="J21" i="6"/>
  <c r="B22" i="6"/>
  <c r="F30" i="6"/>
  <c r="L28" i="6"/>
  <c r="G27" i="6"/>
  <c r="M25" i="6"/>
  <c r="H24" i="6"/>
  <c r="C23" i="6"/>
  <c r="I21" i="6"/>
  <c r="D20" i="6"/>
  <c r="B23" i="6"/>
  <c r="K28" i="6"/>
  <c r="F27" i="6"/>
  <c r="L25" i="6"/>
  <c r="G24" i="6"/>
  <c r="M22" i="6"/>
  <c r="H21" i="6"/>
  <c r="C20" i="6"/>
  <c r="D25" i="6"/>
  <c r="G23" i="6"/>
  <c r="F24" i="6"/>
  <c r="L22" i="6"/>
  <c r="G21" i="6"/>
  <c r="M19" i="6"/>
  <c r="B25" i="6"/>
  <c r="C30" i="6"/>
  <c r="I28" i="6"/>
  <c r="D27" i="6"/>
  <c r="J25" i="6"/>
  <c r="E24" i="6"/>
  <c r="K22" i="6"/>
  <c r="F21" i="6"/>
  <c r="C25" i="6"/>
  <c r="K24" i="6"/>
  <c r="K25" i="6"/>
  <c r="M29" i="6"/>
  <c r="I25" i="6"/>
  <c r="K19" i="6"/>
  <c r="L29" i="6"/>
  <c r="G28" i="6"/>
  <c r="M26" i="6"/>
  <c r="H25" i="6"/>
  <c r="C24" i="6"/>
  <c r="I22" i="6"/>
  <c r="D21" i="6"/>
  <c r="M24" i="6"/>
  <c r="J24" i="6"/>
  <c r="E21" i="6"/>
  <c r="J19" i="6"/>
  <c r="B28" i="6"/>
  <c r="K29" i="6"/>
  <c r="F28" i="6"/>
  <c r="L26" i="6"/>
  <c r="G25" i="6"/>
  <c r="M23" i="6"/>
  <c r="H22" i="6"/>
  <c r="E23" i="6"/>
  <c r="B24" i="6"/>
  <c r="L19" i="6"/>
  <c r="J22" i="6"/>
  <c r="I19" i="6"/>
  <c r="B29" i="6"/>
  <c r="J29" i="6"/>
  <c r="E28" i="6"/>
  <c r="K26" i="6"/>
  <c r="F25" i="6"/>
  <c r="L23" i="6"/>
  <c r="G22" i="6"/>
  <c r="M20" i="6"/>
  <c r="F23" i="6"/>
  <c r="AA97" i="1" a="1"/>
  <c r="AA97" i="1" s="1"/>
  <c r="AO97" i="1" s="1"/>
  <c r="Q7" i="3" l="1" a="1"/>
  <c r="Q7" i="3" s="1"/>
  <c r="AL57" i="1" s="1"/>
  <c r="Q3" i="3" a="1"/>
  <c r="Q3" i="3" s="1"/>
  <c r="AL17" i="1" s="1"/>
  <c r="AP23" i="1" s="1"/>
  <c r="Q5" i="3" a="1"/>
  <c r="Q5" i="3" s="1"/>
  <c r="AL37" i="1" s="1"/>
  <c r="Q6" i="3" a="1"/>
  <c r="Q6" i="3" s="1"/>
  <c r="AL47" i="1" s="1"/>
  <c r="AP53" i="1" s="1"/>
  <c r="Q8" i="3" a="1"/>
  <c r="Q8" i="3" s="1"/>
  <c r="AL67" i="1" s="1"/>
  <c r="Q4" i="3" a="1"/>
  <c r="Q4" i="3" s="1"/>
  <c r="AL27" i="1" s="1"/>
  <c r="AP33" i="1" s="1"/>
  <c r="Q9" i="3" a="1"/>
  <c r="Q9" i="3" s="1"/>
  <c r="AL77" i="1" s="1"/>
  <c r="Q10" i="3" a="1"/>
  <c r="Q10" i="3" s="1"/>
  <c r="AL8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<sst xmlns="http://schemas.openxmlformats.org/spreadsheetml/2006/main" count="433" uniqueCount="217">
  <si>
    <t>Name:</t>
  </si>
  <si>
    <t>Species:</t>
  </si>
  <si>
    <t>Untold RPG</t>
  </si>
  <si>
    <t>Skills:</t>
  </si>
  <si>
    <t>Body</t>
  </si>
  <si>
    <t>Wounds &amp; Exertion</t>
  </si>
  <si>
    <t>Mind</t>
  </si>
  <si>
    <t>Body DR</t>
  </si>
  <si>
    <t>Mind DR</t>
  </si>
  <si>
    <t>Endurance</t>
  </si>
  <si>
    <t>Tenacity</t>
  </si>
  <si>
    <t>Resilience</t>
  </si>
  <si>
    <t>Wounds</t>
  </si>
  <si>
    <t>Strain</t>
  </si>
  <si>
    <t>↘</t>
  </si>
  <si>
    <t>↙</t>
  </si>
  <si>
    <t>Vitality</t>
  </si>
  <si>
    <t>Sanity</t>
  </si>
  <si>
    <t>TN</t>
  </si>
  <si>
    <t>SR</t>
  </si>
  <si>
    <t>TR</t>
  </si>
  <si>
    <t>Skill</t>
  </si>
  <si>
    <t>Gear</t>
  </si>
  <si>
    <t>Umb</t>
  </si>
  <si>
    <t>D</t>
  </si>
  <si>
    <t>dg</t>
  </si>
  <si>
    <t>init</t>
  </si>
  <si>
    <t>base</t>
  </si>
  <si>
    <t>Conduct</t>
  </si>
  <si>
    <t>Cost</t>
  </si>
  <si>
    <t>Moral Code</t>
  </si>
  <si>
    <t>Currency Rank</t>
  </si>
  <si>
    <t>Society Rank</t>
  </si>
  <si>
    <t>blk</t>
  </si>
  <si>
    <t>Bulk</t>
  </si>
  <si>
    <t>A</t>
  </si>
  <si>
    <t>R</t>
  </si>
  <si>
    <t>P</t>
  </si>
  <si>
    <t>BT</t>
  </si>
  <si>
    <t>BL</t>
  </si>
  <si>
    <t>EN</t>
  </si>
  <si>
    <t>Advances</t>
  </si>
  <si>
    <t>Motivations &amp; Goals</t>
  </si>
  <si>
    <t>Description &amp; Traits</t>
  </si>
  <si>
    <t>AP</t>
  </si>
  <si>
    <t>spnt</t>
  </si>
  <si>
    <t>earn</t>
  </si>
  <si>
    <t>creation</t>
  </si>
  <si>
    <t>Cognition</t>
  </si>
  <si>
    <t>Craft</t>
  </si>
  <si>
    <t>Handling</t>
  </si>
  <si>
    <t>Infiltration</t>
  </si>
  <si>
    <t>Influence</t>
  </si>
  <si>
    <t>Knowledge</t>
  </si>
  <si>
    <t>Language</t>
  </si>
  <si>
    <t>Performance</t>
  </si>
  <si>
    <t>Piloting</t>
  </si>
  <si>
    <t>Survival</t>
  </si>
  <si>
    <t>Athletics</t>
  </si>
  <si>
    <t>Coordination</t>
  </si>
  <si>
    <t>Combat: Thrown</t>
  </si>
  <si>
    <t>Umbrella Skills</t>
  </si>
  <si>
    <t>Edges, etc.</t>
  </si>
  <si>
    <t>Devotion</t>
  </si>
  <si>
    <t>Favor</t>
  </si>
  <si>
    <t>Spirit</t>
  </si>
  <si>
    <t>Will</t>
  </si>
  <si>
    <t>Killing</t>
  </si>
  <si>
    <t>Lying</t>
  </si>
  <si>
    <t>Breaking Word</t>
  </si>
  <si>
    <t>Stealing</t>
  </si>
  <si>
    <t>Denying Aid</t>
  </si>
  <si>
    <t>Conducts</t>
  </si>
  <si>
    <t>Target Number</t>
  </si>
  <si>
    <t>Ct</t>
  </si>
  <si>
    <t>S</t>
  </si>
  <si>
    <t>T</t>
  </si>
  <si>
    <t>Rank</t>
  </si>
  <si>
    <t>Tier</t>
  </si>
  <si>
    <t>Target</t>
  </si>
  <si>
    <t>ava</t>
  </si>
  <si>
    <t>Combat: Melee</t>
  </si>
  <si>
    <t>B/M</t>
  </si>
  <si>
    <t>Engaged</t>
  </si>
  <si>
    <t>Close</t>
  </si>
  <si>
    <t>Near</t>
  </si>
  <si>
    <t>Short</t>
  </si>
  <si>
    <t>Apart</t>
  </si>
  <si>
    <t>Vast</t>
  </si>
  <si>
    <t>Continent</t>
  </si>
  <si>
    <t>World</t>
  </si>
  <si>
    <t>System</t>
  </si>
  <si>
    <t>Beyond</t>
  </si>
  <si>
    <t>Those you could speak with without shouting in a restaurant</t>
  </si>
  <si>
    <t>Those you could play catch with or speak with if you raised your voice</t>
  </si>
  <si>
    <t>It would take you several days to walk there.</t>
  </si>
  <si>
    <t>You could walk there in a day</t>
  </si>
  <si>
    <t>You could walk there in less than an hour</t>
  </si>
  <si>
    <t>You could see them unaided if you had 20/20 vision.</t>
  </si>
  <si>
    <t>With Speaker and Microphone they could hear you</t>
  </si>
  <si>
    <t>Landmass away, an epic walk</t>
  </si>
  <si>
    <t>The entire world contained within a Magnetic Field</t>
  </si>
  <si>
    <t>The entire Solar System contained by the Heliosphere of the Sun(s)</t>
  </si>
  <si>
    <t>Pretty much any distance, recommend that it isn't the entire galaxy.</t>
  </si>
  <si>
    <t>Instant</t>
  </si>
  <si>
    <t>a spirited exchange between two arguing</t>
  </si>
  <si>
    <t>a heartbeat</t>
  </si>
  <si>
    <t>the entire argument</t>
  </si>
  <si>
    <t>Decade</t>
  </si>
  <si>
    <t>Year</t>
  </si>
  <si>
    <t>Season</t>
  </si>
  <si>
    <t>Scene</t>
  </si>
  <si>
    <t>Day</t>
  </si>
  <si>
    <t>10 rotations</t>
  </si>
  <si>
    <t>Durations</t>
  </si>
  <si>
    <t>DL/Reroll</t>
  </si>
  <si>
    <t>Potency</t>
  </si>
  <si>
    <t>-</t>
  </si>
  <si>
    <t>Range &amp; Area (Assign Cost Twice)</t>
  </si>
  <si>
    <t>InT</t>
  </si>
  <si>
    <t>OutT</t>
  </si>
  <si>
    <t>TN 9</t>
  </si>
  <si>
    <t>TN 10</t>
  </si>
  <si>
    <t>TN 8</t>
  </si>
  <si>
    <t>TN 7</t>
  </si>
  <si>
    <t>TN 6</t>
  </si>
  <si>
    <t>TN 5</t>
  </si>
  <si>
    <t>TN 4</t>
  </si>
  <si>
    <t>TN 2</t>
  </si>
  <si>
    <t>TN 3</t>
  </si>
  <si>
    <t>TN 1</t>
  </si>
  <si>
    <t>TN 11</t>
  </si>
  <si>
    <t>TN 12</t>
  </si>
  <si>
    <t>Facing</t>
  </si>
  <si>
    <t>Number of Dice</t>
  </si>
  <si>
    <t>S Rank</t>
  </si>
  <si>
    <t>City</t>
  </si>
  <si>
    <t>Base</t>
  </si>
  <si>
    <t>Novice</t>
  </si>
  <si>
    <t>Amateur</t>
  </si>
  <si>
    <t>Competent</t>
  </si>
  <si>
    <t>Practiced</t>
  </si>
  <si>
    <t>Proficient</t>
  </si>
  <si>
    <t>Adept</t>
  </si>
  <si>
    <t>Accomplished</t>
  </si>
  <si>
    <t>Veteran</t>
  </si>
  <si>
    <t>Expert</t>
  </si>
  <si>
    <t>Master</t>
  </si>
  <si>
    <t>Renowned</t>
  </si>
  <si>
    <t>Legendary</t>
  </si>
  <si>
    <t>Title</t>
  </si>
  <si>
    <t>Aspect</t>
  </si>
  <si>
    <t>SR Idx</t>
  </si>
  <si>
    <t>TN Idx</t>
  </si>
  <si>
    <t>Edges</t>
  </si>
  <si>
    <t>Skill Name</t>
  </si>
  <si>
    <t>Broad</t>
  </si>
  <si>
    <t>Techniques</t>
  </si>
  <si>
    <t>Damage</t>
  </si>
  <si>
    <t>Month</t>
  </si>
  <si>
    <t>Week</t>
  </si>
  <si>
    <t>Turn</t>
  </si>
  <si>
    <t>Lifetime</t>
  </si>
  <si>
    <t>3 rounds</t>
  </si>
  <si>
    <t>6 rounds</t>
  </si>
  <si>
    <t>the turning of a planet</t>
  </si>
  <si>
    <t>the complete cycle of a astral body</t>
  </si>
  <si>
    <t>Solstice to Equinox or vice versa</t>
  </si>
  <si>
    <t>a grouping of days, determined by a calendar</t>
  </si>
  <si>
    <t>the rotation of the planet around a sun</t>
  </si>
  <si>
    <t>the lifetime of the target</t>
  </si>
  <si>
    <t>Permanent</t>
  </si>
  <si>
    <t>incalculable duration</t>
  </si>
  <si>
    <t xml:space="preserve">x 1 </t>
  </si>
  <si>
    <t>x 2</t>
  </si>
  <si>
    <t>x 3</t>
  </si>
  <si>
    <t>x 4</t>
  </si>
  <si>
    <t>x 5</t>
  </si>
  <si>
    <t>x 6</t>
  </si>
  <si>
    <t>x 7</t>
  </si>
  <si>
    <t>within reach</t>
  </si>
  <si>
    <t>self or target</t>
  </si>
  <si>
    <t>Distant</t>
  </si>
  <si>
    <t>Strengths</t>
  </si>
  <si>
    <t>Weaknesses</t>
  </si>
  <si>
    <t>Prehensile Tail</t>
  </si>
  <si>
    <t>Agile</t>
  </si>
  <si>
    <t>Agile (1 TN Coordination &amp; Finesse)</t>
  </si>
  <si>
    <t>Lithe (+1 BDR)</t>
  </si>
  <si>
    <t>Distinguishing Trait (Tail/Fur)</t>
  </si>
  <si>
    <t>Obsession (2 DL Curiosity)</t>
  </si>
  <si>
    <t>Inept (Bodybuilding, Brutal)</t>
  </si>
  <si>
    <t>Chinasi, Basic SR 6</t>
  </si>
  <si>
    <t>Chinashti</t>
  </si>
  <si>
    <t>Engineer, Civil</t>
  </si>
  <si>
    <t>Physical Impairment</t>
  </si>
  <si>
    <t>Mag Vehicles</t>
  </si>
  <si>
    <t>Dueling Weapons</t>
  </si>
  <si>
    <t>Jungle</t>
  </si>
  <si>
    <t>Observation</t>
  </si>
  <si>
    <t>Goggles (P,A:4,R:5,D-B:2,B,E,Sl:3) 4</t>
  </si>
  <si>
    <t>Foil (P:2,A,R:1,D:3-B,B,E:1, Sl:3) 6</t>
  </si>
  <si>
    <t>Stealth</t>
  </si>
  <si>
    <t>Fine Motor Manipulation</t>
  </si>
  <si>
    <t>Kudzu Ringtail (Thor)</t>
  </si>
  <si>
    <t>Recall</t>
  </si>
  <si>
    <t>Tools (P:6,A,R,D:6-B:2,B,E) 5</t>
  </si>
  <si>
    <t>Tailoring/Weaving</t>
  </si>
  <si>
    <t>Engineering, Civil</t>
  </si>
  <si>
    <t>Stunt Pilot (2:12)</t>
  </si>
  <si>
    <t>Technique Costs</t>
  </si>
  <si>
    <t>Override Cost</t>
  </si>
  <si>
    <t>En Guard (1 reroll: 6 cost)</t>
  </si>
  <si>
    <t>Stunt Pilot (2 rerolls : 12 cost)</t>
  </si>
  <si>
    <t>Perfect Wedding</t>
  </si>
  <si>
    <t>In Tribe</t>
  </si>
  <si>
    <t>Out of Tribe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</si>
</sst>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Fira Sans"/>
      <family val="2"/>
    </font>
    <font>
      <sz val="11"/>
      <color theme="0"/>
      <name val="Fira Sans"/>
      <family val="2"/>
    </font>
    <font>
      <sz val="9"/>
      <color theme="1"/>
      <name val="Fira Sans"/>
      <family val="2"/>
    </font>
    <font>
      <sz val="36"/>
      <color theme="9" tint="-0.499984740745262"/>
      <name val="Calibri"/>
      <family val="2"/>
    </font>
    <font>
      <sz val="36"/>
      <color theme="9" tint="-0.499984740745262"/>
      <name val="Fira Sans"/>
      <family val="2"/>
    </font>
    <font>
      <sz val="36"/>
      <color theme="9" tint="0.39997558519241921"/>
      <name val="Calibri"/>
      <family val="2"/>
    </font>
    <font>
      <sz val="36"/>
      <color theme="9" tint="0.39997558519241921"/>
      <name val="Fira Sans"/>
      <family val="2"/>
    </font>
    <font>
      <sz val="9"/>
      <color theme="0"/>
      <name val="Fira Sans"/>
      <family val="2"/>
    </font>
    <font>
      <sz val="10"/>
      <color theme="0"/>
      <name val="Fira Sans"/>
      <family val="2"/>
    </font>
    <font>
      <sz val="6"/>
      <color theme="0"/>
      <name val="Fira Sans"/>
      <family val="2"/>
    </font>
    <font>
      <sz val="11"/>
      <name val="Fira Sans"/>
      <family val="2"/>
    </font>
    <font>
      <sz val="7"/>
      <color theme="1"/>
      <name val="Fira Sans"/>
      <family val="2"/>
    </font>
    <font>
      <sz val="10"/>
      <color theme="1"/>
      <name val="Fira Sans"/>
      <family val="2"/>
    </font>
    <font>
      <b/>
      <sz val="16"/>
      <name val="Fira Sans"/>
      <family val="2"/>
    </font>
    <font>
      <sz val="11"/>
      <color rgb="FFFF0000"/>
      <name val="Fira Sans"/>
      <family val="2"/>
    </font>
    <font>
      <sz val="11"/>
      <color rgb="FF00B050"/>
      <name val="Fira Sans"/>
      <family val="2"/>
    </font>
    <font>
      <sz val="11"/>
      <color rgb="FFFFC000"/>
      <name val="Fira Sans"/>
      <family val="2"/>
    </font>
    <font>
      <sz val="11"/>
      <color rgb="FFC00000"/>
      <name val="Fira Sans"/>
      <family val="2"/>
    </font>
    <font>
      <sz val="11"/>
      <color rgb="FF00B0F0"/>
      <name val="Fira Sans"/>
      <family val="2"/>
    </font>
    <font>
      <sz val="11"/>
      <color rgb="FF0070C0"/>
      <name val="Fira Sans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6" tint="-0.499984740745262"/>
      </left>
      <right/>
      <top style="thin">
        <color indexed="64"/>
      </top>
      <bottom/>
      <diagonal/>
    </border>
    <border>
      <left/>
      <right style="thin">
        <color theme="6" tint="-0.499984740745262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6" tint="-0.499984740745262"/>
      </bottom>
      <diagonal/>
    </border>
    <border>
      <left/>
      <right style="thin">
        <color indexed="64"/>
      </right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 style="thin">
        <color indexed="64"/>
      </bottom>
      <diagonal/>
    </border>
    <border>
      <left style="thin">
        <color theme="9" tint="-0.499984740745262"/>
      </left>
      <right/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0"/>
      </right>
      <top style="thin">
        <color theme="9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0"/>
      </right>
      <top/>
      <bottom style="thin">
        <color theme="9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9" tint="-0.499984740745262"/>
      </bottom>
      <diagonal/>
    </border>
    <border>
      <left style="thin">
        <color theme="9" tint="0.59999389629810485"/>
      </left>
      <right/>
      <top style="thin">
        <color theme="9" tint="0.59999389629810485"/>
      </top>
      <bottom/>
      <diagonal/>
    </border>
    <border>
      <left/>
      <right/>
      <top style="thin">
        <color theme="9" tint="0.59999389629810485"/>
      </top>
      <bottom/>
      <diagonal/>
    </border>
    <border>
      <left/>
      <right style="thin">
        <color theme="9" tint="0.59999389629810485"/>
      </right>
      <top style="thin">
        <color theme="9" tint="0.59999389629810485"/>
      </top>
      <bottom/>
      <diagonal/>
    </border>
    <border>
      <left style="thin">
        <color theme="9" tint="0.59999389629810485"/>
      </left>
      <right/>
      <top/>
      <bottom/>
      <diagonal/>
    </border>
    <border>
      <left/>
      <right style="thin">
        <color theme="9" tint="0.59999389629810485"/>
      </right>
      <top/>
      <bottom/>
      <diagonal/>
    </border>
    <border>
      <left style="thin">
        <color theme="9" tint="0.59999389629810485"/>
      </left>
      <right/>
      <top/>
      <bottom style="thin">
        <color theme="9" tint="0.59999389629810485"/>
      </bottom>
      <diagonal/>
    </border>
    <border>
      <left/>
      <right/>
      <top/>
      <bottom style="thin">
        <color theme="9" tint="0.59999389629810485"/>
      </bottom>
      <diagonal/>
    </border>
    <border>
      <left/>
      <right style="thin">
        <color theme="9" tint="0.59999389629810485"/>
      </right>
      <top/>
      <bottom style="thin">
        <color theme="9" tint="0.59999389629810485"/>
      </bottom>
      <diagonal/>
    </border>
    <border>
      <left style="thin">
        <color theme="0"/>
      </left>
      <right style="thin">
        <color theme="0"/>
      </right>
      <top style="thin">
        <color theme="9" tint="0.59999389629810485"/>
      </top>
      <bottom/>
      <diagonal/>
    </border>
    <border>
      <left style="thin">
        <color theme="0"/>
      </left>
      <right style="thin">
        <color theme="9" tint="0.59999389629810485"/>
      </right>
      <top style="thin">
        <color theme="9" tint="0.59999389629810485"/>
      </top>
      <bottom/>
      <diagonal/>
    </border>
    <border>
      <left style="thin">
        <color theme="0"/>
      </left>
      <right style="thin">
        <color theme="0"/>
      </right>
      <top/>
      <bottom style="thin">
        <color theme="9" tint="0.59999389629810485"/>
      </bottom>
      <diagonal/>
    </border>
    <border>
      <left style="thin">
        <color theme="0"/>
      </left>
      <right style="thin">
        <color theme="9" tint="0.59999389629810485"/>
      </right>
      <top/>
      <bottom style="thin">
        <color theme="9" tint="0.59999389629810485"/>
      </bottom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/>
      <right/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/>
      <right/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6" tint="-0.499984740745262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0"/>
      </right>
      <top style="thin">
        <color theme="9" tint="-0.499984740745262"/>
      </top>
      <bottom/>
      <diagonal/>
    </border>
    <border>
      <left/>
      <right style="thin">
        <color theme="0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0"/>
      </right>
      <top/>
      <bottom/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/>
      <right/>
      <top style="thin">
        <color theme="5" tint="-0.249977111117893"/>
      </top>
      <bottom/>
      <diagonal/>
    </border>
    <border>
      <left/>
      <right style="thin">
        <color theme="9" tint="-0.499984740745262"/>
      </right>
      <top style="thin">
        <color theme="5" tint="-0.249977111117893"/>
      </top>
      <bottom/>
      <diagonal/>
    </border>
    <border>
      <left style="thin">
        <color theme="9" tint="-0.499984740745262"/>
      </left>
      <right/>
      <top style="thin">
        <color theme="5" tint="-0.249977111117893"/>
      </top>
      <bottom/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9" tint="-0.499984740745262"/>
      </right>
      <top/>
      <bottom style="thin">
        <color theme="5" tint="-0.249977111117893"/>
      </bottom>
      <diagonal/>
    </border>
    <border>
      <left style="thin">
        <color theme="9" tint="-0.499984740745262"/>
      </left>
      <right/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4"/>
      </left>
      <right style="thin">
        <color theme="0"/>
      </right>
      <top style="thin">
        <color theme="4"/>
      </top>
      <bottom/>
      <diagonal/>
    </border>
    <border>
      <left style="thin">
        <color theme="0"/>
      </left>
      <right style="thin">
        <color theme="0"/>
      </right>
      <top style="thin">
        <color theme="4"/>
      </top>
      <bottom/>
      <diagonal/>
    </border>
    <border>
      <left style="thin">
        <color theme="0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0"/>
      </right>
      <top/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4"/>
      </bottom>
      <diagonal/>
    </border>
    <border>
      <left style="thin">
        <color theme="0"/>
      </left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5" tint="-0.499984740745262"/>
      </top>
      <bottom/>
      <diagonal/>
    </border>
    <border>
      <left/>
      <right style="thin">
        <color indexed="64"/>
      </right>
      <top/>
      <bottom style="thin">
        <color theme="5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4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/>
    <xf numFmtId="0" fontId="0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Font="1" applyAlignment="1"/>
    <xf numFmtId="0" fontId="0" fillId="0" borderId="0" xfId="0" applyFont="1" applyBorder="1" applyAlignment="1"/>
    <xf numFmtId="0" fontId="1" fillId="0" borderId="0" xfId="0" applyFont="1" applyFill="1" applyAlignment="1"/>
    <xf numFmtId="0" fontId="7" fillId="7" borderId="8" xfId="0" applyFont="1" applyFill="1" applyBorder="1" applyAlignment="1">
      <alignment horizontal="center" vertical="center" textRotation="180" wrapText="1"/>
    </xf>
    <xf numFmtId="0" fontId="0" fillId="0" borderId="0" xfId="0" applyAlignment="1"/>
    <xf numFmtId="0" fontId="11" fillId="0" borderId="0" xfId="0" applyFont="1" applyBorder="1" applyAlignment="1">
      <alignment vertical="center" textRotation="180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11" borderId="92" xfId="0" applyFill="1" applyBorder="1"/>
    <xf numFmtId="0" fontId="0" fillId="0" borderId="0" xfId="0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1" borderId="94" xfId="0" applyFill="1" applyBorder="1"/>
    <xf numFmtId="0" fontId="0" fillId="0" borderId="2" xfId="0" applyBorder="1" applyAlignment="1">
      <alignment horizontal="center" vertical="center"/>
    </xf>
    <xf numFmtId="0" fontId="0" fillId="6" borderId="92" xfId="0" applyFill="1" applyBorder="1"/>
    <xf numFmtId="0" fontId="0" fillId="6" borderId="94" xfId="0" applyFill="1" applyBorder="1"/>
    <xf numFmtId="0" fontId="0" fillId="14" borderId="92" xfId="0" applyFill="1" applyBorder="1"/>
    <xf numFmtId="0" fontId="0" fillId="14" borderId="94" xfId="0" applyFill="1" applyBorder="1"/>
    <xf numFmtId="0" fontId="0" fillId="13" borderId="0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5" borderId="0" xfId="0" applyFill="1" applyBorder="1" applyAlignment="1">
      <alignment horizontal="center" vertical="center"/>
    </xf>
    <xf numFmtId="0" fontId="0" fillId="11" borderId="96" xfId="0" applyFill="1" applyBorder="1"/>
    <xf numFmtId="0" fontId="0" fillId="6" borderId="96" xfId="0" applyFill="1" applyBorder="1"/>
    <xf numFmtId="0" fontId="0" fillId="0" borderId="0" xfId="0" quotePrefix="1"/>
    <xf numFmtId="10" fontId="0" fillId="0" borderId="0" xfId="0" applyNumberFormat="1"/>
    <xf numFmtId="2" fontId="0" fillId="0" borderId="0" xfId="0" applyNumberFormat="1"/>
    <xf numFmtId="2" fontId="14" fillId="0" borderId="0" xfId="0" applyNumberFormat="1" applyFont="1"/>
    <xf numFmtId="2" fontId="15" fillId="0" borderId="0" xfId="0" applyNumberFormat="1" applyFont="1"/>
    <xf numFmtId="2" fontId="16" fillId="0" borderId="0" xfId="0" applyNumberFormat="1" applyFont="1"/>
    <xf numFmtId="2" fontId="17" fillId="0" borderId="0" xfId="0" applyNumberFormat="1" applyFont="1"/>
    <xf numFmtId="2" fontId="18" fillId="0" borderId="0" xfId="0" applyNumberFormat="1" applyFont="1"/>
    <xf numFmtId="2" fontId="19" fillId="0" borderId="0" xfId="0" applyNumberFormat="1" applyFont="1"/>
    <xf numFmtId="0" fontId="0" fillId="11" borderId="0" xfId="0" applyFill="1"/>
    <xf numFmtId="0" fontId="0" fillId="16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Fill="1"/>
    <xf numFmtId="2" fontId="0" fillId="0" borderId="0" xfId="0" applyNumberFormat="1" applyFill="1"/>
    <xf numFmtId="2" fontId="14" fillId="0" borderId="0" xfId="0" applyNumberFormat="1" applyFont="1" applyFill="1"/>
    <xf numFmtId="2" fontId="15" fillId="0" borderId="0" xfId="0" applyNumberFormat="1" applyFont="1" applyFill="1"/>
    <xf numFmtId="2" fontId="16" fillId="0" borderId="0" xfId="0" applyNumberFormat="1" applyFont="1" applyFill="1"/>
    <xf numFmtId="2" fontId="17" fillId="0" borderId="0" xfId="0" applyNumberFormat="1" applyFont="1" applyFill="1"/>
    <xf numFmtId="2" fontId="18" fillId="0" borderId="0" xfId="0" applyNumberFormat="1" applyFont="1" applyFill="1"/>
    <xf numFmtId="0" fontId="0" fillId="17" borderId="0" xfId="0" applyFill="1"/>
    <xf numFmtId="2" fontId="0" fillId="17" borderId="0" xfId="0" applyNumberFormat="1" applyFill="1"/>
    <xf numFmtId="2" fontId="14" fillId="17" borderId="0" xfId="0" applyNumberFormat="1" applyFont="1" applyFill="1"/>
    <xf numFmtId="2" fontId="15" fillId="17" borderId="0" xfId="0" applyNumberFormat="1" applyFont="1" applyFill="1"/>
    <xf numFmtId="2" fontId="16" fillId="17" borderId="0" xfId="0" applyNumberFormat="1" applyFont="1" applyFill="1"/>
    <xf numFmtId="2" fontId="17" fillId="17" borderId="0" xfId="0" applyNumberFormat="1" applyFont="1" applyFill="1"/>
    <xf numFmtId="2" fontId="18" fillId="17" borderId="0" xfId="0" applyNumberFormat="1" applyFont="1" applyFill="1"/>
    <xf numFmtId="2" fontId="19" fillId="17" borderId="0" xfId="0" applyNumberFormat="1" applyFont="1" applyFill="1"/>
    <xf numFmtId="0" fontId="0" fillId="0" borderId="0" xfId="0" applyFill="1" applyBorder="1" applyAlignment="1">
      <alignment horizontal="center"/>
    </xf>
    <xf numFmtId="0" fontId="0" fillId="14" borderId="94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14" borderId="95" xfId="0" applyFill="1" applyBorder="1" applyAlignment="1">
      <alignment horizontal="center"/>
    </xf>
    <xf numFmtId="0" fontId="0" fillId="0" borderId="93" xfId="0" applyFill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18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left"/>
    </xf>
    <xf numFmtId="0" fontId="1" fillId="0" borderId="16" xfId="0" applyFont="1" applyFill="1" applyBorder="1" applyAlignment="1">
      <alignment horizontal="left"/>
    </xf>
    <xf numFmtId="0" fontId="1" fillId="0" borderId="17" xfId="0" applyFont="1" applyFill="1" applyBorder="1" applyAlignment="1">
      <alignment horizontal="left"/>
    </xf>
    <xf numFmtId="0" fontId="1" fillId="0" borderId="19" xfId="0" applyFont="1" applyFill="1" applyBorder="1" applyAlignment="1">
      <alignment horizontal="left"/>
    </xf>
    <xf numFmtId="0" fontId="1" fillId="0" borderId="20" xfId="0" applyFont="1" applyFill="1" applyBorder="1" applyAlignment="1">
      <alignment horizontal="left"/>
    </xf>
    <xf numFmtId="0" fontId="1" fillId="0" borderId="21" xfId="0" applyFont="1" applyFill="1" applyBorder="1" applyAlignment="1">
      <alignment horizontal="left"/>
    </xf>
    <xf numFmtId="0" fontId="0" fillId="0" borderId="51" xfId="0" applyFont="1" applyBorder="1" applyAlignment="1">
      <alignment horizontal="right"/>
    </xf>
    <xf numFmtId="0" fontId="0" fillId="0" borderId="52" xfId="0" applyFont="1" applyBorder="1" applyAlignment="1">
      <alignment horizontal="right"/>
    </xf>
    <xf numFmtId="0" fontId="0" fillId="0" borderId="53" xfId="0" applyFont="1" applyBorder="1" applyAlignment="1">
      <alignment horizontal="right"/>
    </xf>
    <xf numFmtId="0" fontId="0" fillId="0" borderId="54" xfId="0" applyFont="1" applyBorder="1" applyAlignment="1">
      <alignment horizontal="right"/>
    </xf>
    <xf numFmtId="0" fontId="0" fillId="0" borderId="55" xfId="0" applyFont="1" applyBorder="1" applyAlignment="1">
      <alignment horizontal="right"/>
    </xf>
    <xf numFmtId="0" fontId="0" fillId="0" borderId="56" xfId="0" applyFont="1" applyBorder="1" applyAlignment="1">
      <alignment horizontal="right"/>
    </xf>
    <xf numFmtId="0" fontId="0" fillId="0" borderId="87" xfId="0" applyFont="1" applyBorder="1" applyAlignment="1">
      <alignment horizontal="center"/>
    </xf>
    <xf numFmtId="0" fontId="10" fillId="0" borderId="15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7" fillId="8" borderId="55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8" borderId="55" xfId="0" applyFont="1" applyFill="1" applyBorder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7" fillId="8" borderId="28" xfId="0" applyFont="1" applyFill="1" applyBorder="1" applyAlignment="1">
      <alignment horizontal="center" vertical="top"/>
    </xf>
    <xf numFmtId="0" fontId="7" fillId="8" borderId="29" xfId="0" applyFont="1" applyFill="1" applyBorder="1" applyAlignment="1">
      <alignment horizontal="center" vertical="top"/>
    </xf>
    <xf numFmtId="0" fontId="7" fillId="8" borderId="66" xfId="0" applyFont="1" applyFill="1" applyBorder="1" applyAlignment="1">
      <alignment horizontal="center" vertical="top"/>
    </xf>
    <xf numFmtId="0" fontId="7" fillId="8" borderId="32" xfId="0" applyFont="1" applyFill="1" applyBorder="1" applyAlignment="1">
      <alignment horizontal="center" vertical="top"/>
    </xf>
    <xf numFmtId="0" fontId="7" fillId="8" borderId="33" xfId="0" applyFont="1" applyFill="1" applyBorder="1" applyAlignment="1">
      <alignment horizontal="center" vertical="top"/>
    </xf>
    <xf numFmtId="0" fontId="7" fillId="8" borderId="67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textRotation="180"/>
    </xf>
    <xf numFmtId="0" fontId="9" fillId="2" borderId="0" xfId="0" applyFont="1" applyFill="1" applyBorder="1" applyAlignment="1">
      <alignment horizontal="center" vertical="center" textRotation="180"/>
    </xf>
    <xf numFmtId="0" fontId="10" fillId="0" borderId="72" xfId="0" applyFont="1" applyBorder="1" applyAlignment="1">
      <alignment horizontal="center"/>
    </xf>
    <xf numFmtId="0" fontId="10" fillId="0" borderId="70" xfId="0" applyFont="1" applyBorder="1" applyAlignment="1">
      <alignment horizontal="center"/>
    </xf>
    <xf numFmtId="0" fontId="10" fillId="0" borderId="73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75" xfId="0" applyFont="1" applyBorder="1" applyAlignment="1">
      <alignment horizontal="center"/>
    </xf>
    <xf numFmtId="0" fontId="10" fillId="0" borderId="79" xfId="0" applyFont="1" applyBorder="1" applyAlignment="1">
      <alignment horizontal="center"/>
    </xf>
    <xf numFmtId="0" fontId="10" fillId="0" borderId="77" xfId="0" applyFont="1" applyBorder="1" applyAlignment="1">
      <alignment horizontal="center"/>
    </xf>
    <xf numFmtId="0" fontId="10" fillId="0" borderId="80" xfId="0" applyFont="1" applyBorder="1" applyAlignment="1">
      <alignment horizontal="center"/>
    </xf>
    <xf numFmtId="0" fontId="7" fillId="8" borderId="68" xfId="0" applyFont="1" applyFill="1" applyBorder="1" applyAlignment="1">
      <alignment horizontal="center" vertical="top"/>
    </xf>
    <xf numFmtId="0" fontId="7" fillId="8" borderId="6" xfId="0" applyFont="1" applyFill="1" applyBorder="1" applyAlignment="1">
      <alignment horizontal="center" vertical="top"/>
    </xf>
    <xf numFmtId="0" fontId="7" fillId="8" borderId="37" xfId="0" applyFont="1" applyFill="1" applyBorder="1" applyAlignment="1">
      <alignment horizontal="center" vertical="top"/>
    </xf>
    <xf numFmtId="0" fontId="7" fillId="8" borderId="38" xfId="0" applyFont="1" applyFill="1" applyBorder="1" applyAlignment="1">
      <alignment horizontal="center" vertical="top"/>
    </xf>
    <xf numFmtId="0" fontId="9" fillId="8" borderId="0" xfId="0" applyFont="1" applyFill="1" applyAlignment="1">
      <alignment horizontal="center" vertical="center" textRotation="180"/>
    </xf>
    <xf numFmtId="0" fontId="9" fillId="8" borderId="0" xfId="0" applyFont="1" applyFill="1" applyBorder="1" applyAlignment="1">
      <alignment horizontal="center" vertical="center" textRotation="180"/>
    </xf>
    <xf numFmtId="0" fontId="10" fillId="0" borderId="69" xfId="0" applyFont="1" applyBorder="1" applyAlignment="1">
      <alignment horizontal="center"/>
    </xf>
    <xf numFmtId="0" fontId="10" fillId="0" borderId="74" xfId="0" applyFont="1" applyBorder="1" applyAlignment="1">
      <alignment horizontal="center"/>
    </xf>
    <xf numFmtId="0" fontId="10" fillId="0" borderId="76" xfId="0" applyFont="1" applyBorder="1" applyAlignment="1">
      <alignment horizontal="center"/>
    </xf>
    <xf numFmtId="0" fontId="10" fillId="0" borderId="71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7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7" fillId="5" borderId="35" xfId="0" applyFont="1" applyFill="1" applyBorder="1" applyAlignment="1">
      <alignment horizontal="center" vertical="top"/>
    </xf>
    <xf numFmtId="0" fontId="7" fillId="5" borderId="36" xfId="0" applyFont="1" applyFill="1" applyBorder="1" applyAlignment="1">
      <alignment horizontal="center" vertical="top"/>
    </xf>
    <xf numFmtId="0" fontId="7" fillId="5" borderId="37" xfId="0" applyFont="1" applyFill="1" applyBorder="1" applyAlignment="1">
      <alignment horizontal="center" vertical="top"/>
    </xf>
    <xf numFmtId="0" fontId="7" fillId="5" borderId="38" xfId="0" applyFont="1" applyFill="1" applyBorder="1" applyAlignment="1">
      <alignment horizontal="center" vertical="top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7" fillId="6" borderId="47" xfId="0" applyFont="1" applyFill="1" applyBorder="1" applyAlignment="1">
      <alignment horizontal="center" vertical="top"/>
    </xf>
    <xf numFmtId="0" fontId="7" fillId="6" borderId="49" xfId="0" applyFont="1" applyFill="1" applyBorder="1" applyAlignment="1">
      <alignment horizontal="center" vertical="top"/>
    </xf>
    <xf numFmtId="0" fontId="7" fillId="6" borderId="48" xfId="0" applyFont="1" applyFill="1" applyBorder="1" applyAlignment="1">
      <alignment horizontal="center" vertical="top"/>
    </xf>
    <xf numFmtId="0" fontId="7" fillId="6" borderId="50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57" xfId="0" applyFont="1" applyBorder="1" applyAlignment="1">
      <alignment horizontal="center"/>
    </xf>
    <xf numFmtId="0" fontId="0" fillId="0" borderId="58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7" fillId="7" borderId="8" xfId="0" applyFont="1" applyFill="1" applyBorder="1" applyAlignment="1">
      <alignment horizontal="center" vertical="center" textRotation="180" wrapText="1"/>
    </xf>
    <xf numFmtId="0" fontId="7" fillId="7" borderId="9" xfId="0" applyFont="1" applyFill="1" applyBorder="1" applyAlignment="1">
      <alignment horizontal="center" vertical="center" textRotation="180" wrapText="1"/>
    </xf>
    <xf numFmtId="0" fontId="0" fillId="0" borderId="0" xfId="0" applyFont="1" applyAlignment="1">
      <alignment horizontal="left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7" fillId="7" borderId="8" xfId="0" applyFont="1" applyFill="1" applyBorder="1" applyAlignment="1">
      <alignment horizontal="left" vertical="center" textRotation="180" wrapText="1"/>
    </xf>
    <xf numFmtId="0" fontId="7" fillId="7" borderId="9" xfId="0" applyFont="1" applyFill="1" applyBorder="1" applyAlignment="1">
      <alignment horizontal="left" vertical="center" textRotation="180" wrapText="1"/>
    </xf>
    <xf numFmtId="0" fontId="7" fillId="7" borderId="0" xfId="0" applyFont="1" applyFill="1" applyBorder="1" applyAlignment="1">
      <alignment horizontal="left" vertical="center" textRotation="180" wrapText="1"/>
    </xf>
    <xf numFmtId="0" fontId="7" fillId="7" borderId="11" xfId="0" applyFont="1" applyFill="1" applyBorder="1" applyAlignment="1">
      <alignment horizontal="left" vertical="center" textRotation="180" wrapText="1"/>
    </xf>
    <xf numFmtId="0" fontId="7" fillId="7" borderId="13" xfId="0" applyFont="1" applyFill="1" applyBorder="1" applyAlignment="1">
      <alignment horizontal="left" vertical="center" textRotation="180" wrapText="1"/>
    </xf>
    <xf numFmtId="0" fontId="7" fillId="7" borderId="14" xfId="0" applyFont="1" applyFill="1" applyBorder="1" applyAlignment="1">
      <alignment horizontal="left" vertical="center" textRotation="180" wrapText="1"/>
    </xf>
    <xf numFmtId="0" fontId="7" fillId="7" borderId="0" xfId="0" applyFont="1" applyFill="1" applyBorder="1" applyAlignment="1">
      <alignment horizontal="center" vertical="center" textRotation="180" wrapText="1"/>
    </xf>
    <xf numFmtId="0" fontId="7" fillId="7" borderId="13" xfId="0" applyFont="1" applyFill="1" applyBorder="1" applyAlignment="1">
      <alignment horizontal="center" vertical="center" textRotation="180" wrapText="1"/>
    </xf>
    <xf numFmtId="0" fontId="2" fillId="0" borderId="5" xfId="0" applyFont="1" applyBorder="1" applyAlignment="1">
      <alignment horizontal="center" vertical="center" textRotation="180" wrapText="1"/>
    </xf>
    <xf numFmtId="0" fontId="2" fillId="0" borderId="0" xfId="0" applyFont="1" applyBorder="1" applyAlignment="1">
      <alignment horizontal="center" vertical="center" textRotation="180" wrapText="1"/>
    </xf>
    <xf numFmtId="0" fontId="2" fillId="0" borderId="11" xfId="0" applyFont="1" applyBorder="1" applyAlignment="1">
      <alignment horizontal="center" vertical="center" textRotation="180" wrapText="1"/>
    </xf>
    <xf numFmtId="0" fontId="2" fillId="0" borderId="19" xfId="0" applyFont="1" applyBorder="1" applyAlignment="1">
      <alignment horizontal="center" vertical="center" textRotation="180" wrapText="1"/>
    </xf>
    <xf numFmtId="0" fontId="2" fillId="0" borderId="20" xfId="0" applyFont="1" applyBorder="1" applyAlignment="1">
      <alignment horizontal="center" vertical="center" textRotation="180" wrapText="1"/>
    </xf>
    <xf numFmtId="0" fontId="2" fillId="0" borderId="59" xfId="0" applyFont="1" applyBorder="1" applyAlignment="1">
      <alignment horizontal="center" vertical="center" textRotation="180" wrapText="1"/>
    </xf>
    <xf numFmtId="0" fontId="0" fillId="0" borderId="2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 textRotation="180" wrapText="1"/>
    </xf>
    <xf numFmtId="0" fontId="7" fillId="7" borderId="14" xfId="0" applyFont="1" applyFill="1" applyBorder="1" applyAlignment="1">
      <alignment horizontal="center" vertical="center" textRotation="180" wrapText="1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6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180"/>
    </xf>
    <xf numFmtId="0" fontId="11" fillId="0" borderId="0" xfId="0" applyFont="1" applyAlignment="1">
      <alignment horizontal="center" vertical="center" textRotation="180"/>
    </xf>
    <xf numFmtId="0" fontId="11" fillId="0" borderId="16" xfId="0" applyFont="1" applyBorder="1" applyAlignment="1">
      <alignment horizontal="center" vertical="center" textRotation="180" wrapText="1"/>
    </xf>
    <xf numFmtId="0" fontId="11" fillId="0" borderId="0" xfId="0" applyFont="1" applyBorder="1" applyAlignment="1">
      <alignment horizontal="center" vertical="center" textRotation="180" wrapText="1"/>
    </xf>
    <xf numFmtId="0" fontId="0" fillId="9" borderId="0" xfId="0" applyFont="1" applyFill="1" applyAlignment="1">
      <alignment horizontal="right"/>
    </xf>
    <xf numFmtId="0" fontId="0" fillId="9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 textRotation="180"/>
    </xf>
    <xf numFmtId="0" fontId="9" fillId="5" borderId="31" xfId="0" applyFont="1" applyFill="1" applyBorder="1" applyAlignment="1">
      <alignment horizontal="center" vertical="center" textRotation="180"/>
    </xf>
    <xf numFmtId="0" fontId="9" fillId="5" borderId="33" xfId="0" applyFont="1" applyFill="1" applyBorder="1" applyAlignment="1">
      <alignment horizontal="center" vertical="center" textRotation="180"/>
    </xf>
    <xf numFmtId="0" fontId="9" fillId="5" borderId="34" xfId="0" applyFont="1" applyFill="1" applyBorder="1" applyAlignment="1">
      <alignment horizontal="center" vertical="center" textRotation="180"/>
    </xf>
    <xf numFmtId="0" fontId="1" fillId="6" borderId="39" xfId="0" applyFont="1" applyFill="1" applyBorder="1" applyAlignment="1">
      <alignment horizontal="center"/>
    </xf>
    <xf numFmtId="0" fontId="1" fillId="6" borderId="40" xfId="0" applyFont="1" applyFill="1" applyBorder="1" applyAlignment="1">
      <alignment horizontal="center"/>
    </xf>
    <xf numFmtId="0" fontId="1" fillId="6" borderId="4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44" xfId="0" applyFont="1" applyFill="1" applyBorder="1" applyAlignment="1">
      <alignment horizontal="center"/>
    </xf>
    <xf numFmtId="0" fontId="1" fillId="6" borderId="45" xfId="0" applyFont="1" applyFill="1" applyBorder="1" applyAlignment="1">
      <alignment horizontal="center"/>
    </xf>
    <xf numFmtId="0" fontId="9" fillId="6" borderId="40" xfId="0" applyFont="1" applyFill="1" applyBorder="1" applyAlignment="1">
      <alignment horizontal="center" vertical="center" textRotation="180"/>
    </xf>
    <xf numFmtId="0" fontId="9" fillId="6" borderId="41" xfId="0" applyFont="1" applyFill="1" applyBorder="1" applyAlignment="1">
      <alignment horizontal="center" vertical="center" textRotation="180"/>
    </xf>
    <xf numFmtId="0" fontId="9" fillId="6" borderId="0" xfId="0" applyFont="1" applyFill="1" applyBorder="1" applyAlignment="1">
      <alignment horizontal="center" vertical="center" textRotation="180"/>
    </xf>
    <xf numFmtId="0" fontId="9" fillId="6" borderId="43" xfId="0" applyFont="1" applyFill="1" applyBorder="1" applyAlignment="1">
      <alignment horizontal="center" vertical="center" textRotation="180"/>
    </xf>
    <xf numFmtId="0" fontId="9" fillId="6" borderId="45" xfId="0" applyFont="1" applyFill="1" applyBorder="1" applyAlignment="1">
      <alignment horizontal="center" vertical="center" textRotation="180"/>
    </xf>
    <xf numFmtId="0" fontId="9" fillId="6" borderId="46" xfId="0" applyFont="1" applyFill="1" applyBorder="1" applyAlignment="1">
      <alignment horizontal="center" vertical="center" textRotation="180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0" fillId="0" borderId="6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10" borderId="0" xfId="0" applyFont="1" applyFill="1" applyAlignment="1">
      <alignment horizontal="left"/>
    </xf>
    <xf numFmtId="0" fontId="0" fillId="10" borderId="0" xfId="0" applyFont="1" applyFill="1" applyAlignment="1">
      <alignment horizontal="right"/>
    </xf>
    <xf numFmtId="0" fontId="10" fillId="0" borderId="63" xfId="0" applyFont="1" applyBorder="1" applyAlignment="1">
      <alignment horizontal="center"/>
    </xf>
    <xf numFmtId="0" fontId="10" fillId="0" borderId="64" xfId="0" applyFont="1" applyBorder="1" applyAlignment="1">
      <alignment horizontal="center"/>
    </xf>
    <xf numFmtId="0" fontId="10" fillId="0" borderId="65" xfId="0" applyFont="1" applyBorder="1" applyAlignment="1">
      <alignment horizont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40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4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13" fillId="0" borderId="28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left" vertical="center"/>
    </xf>
    <xf numFmtId="0" fontId="1" fillId="7" borderId="20" xfId="0" applyFont="1" applyFill="1" applyBorder="1" applyAlignment="1">
      <alignment horizontal="left" vertical="center"/>
    </xf>
    <xf numFmtId="0" fontId="0" fillId="0" borderId="51" xfId="0" applyFont="1" applyBorder="1" applyAlignment="1">
      <alignment horizontal="left"/>
    </xf>
    <xf numFmtId="0" fontId="0" fillId="0" borderId="52" xfId="0" applyFont="1" applyBorder="1" applyAlignment="1">
      <alignment horizontal="left"/>
    </xf>
    <xf numFmtId="0" fontId="0" fillId="0" borderId="88" xfId="0" applyFont="1" applyBorder="1" applyAlignment="1">
      <alignment horizontal="left"/>
    </xf>
    <xf numFmtId="0" fontId="0" fillId="0" borderId="54" xfId="0" applyFont="1" applyBorder="1" applyAlignment="1">
      <alignment horizontal="left"/>
    </xf>
    <xf numFmtId="0" fontId="0" fillId="0" borderId="55" xfId="0" applyFont="1" applyBorder="1" applyAlignment="1">
      <alignment horizontal="left"/>
    </xf>
    <xf numFmtId="0" fontId="0" fillId="0" borderId="89" xfId="0" applyFont="1" applyBorder="1" applyAlignment="1">
      <alignment horizontal="left"/>
    </xf>
    <xf numFmtId="0" fontId="1" fillId="7" borderId="20" xfId="0" applyFont="1" applyFill="1" applyBorder="1" applyAlignment="1">
      <alignment horizontal="center" vertical="center"/>
    </xf>
    <xf numFmtId="0" fontId="0" fillId="0" borderId="87" xfId="0" applyFont="1" applyBorder="1" applyAlignment="1">
      <alignment horizontal="center" vertical="center"/>
    </xf>
    <xf numFmtId="0" fontId="7" fillId="2" borderId="81" xfId="0" applyFont="1" applyFill="1" applyBorder="1" applyAlignment="1">
      <alignment horizontal="center" vertical="top"/>
    </xf>
    <xf numFmtId="0" fontId="7" fillId="2" borderId="82" xfId="0" applyFont="1" applyFill="1" applyBorder="1" applyAlignment="1">
      <alignment horizontal="center" vertical="top"/>
    </xf>
    <xf numFmtId="0" fontId="7" fillId="2" borderId="83" xfId="0" applyFont="1" applyFill="1" applyBorder="1" applyAlignment="1">
      <alignment horizontal="center" vertical="top"/>
    </xf>
    <xf numFmtId="0" fontId="7" fillId="2" borderId="84" xfId="0" applyFont="1" applyFill="1" applyBorder="1" applyAlignment="1">
      <alignment horizontal="center" vertical="top"/>
    </xf>
    <xf numFmtId="0" fontId="7" fillId="2" borderId="85" xfId="0" applyFont="1" applyFill="1" applyBorder="1" applyAlignment="1">
      <alignment horizontal="center" vertical="top"/>
    </xf>
    <xf numFmtId="0" fontId="7" fillId="2" borderId="86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16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6" borderId="97" xfId="0" applyFill="1" applyBorder="1" applyAlignment="1">
      <alignment horizontal="center"/>
    </xf>
    <xf numFmtId="0" fontId="0" fillId="6" borderId="98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15" borderId="0" xfId="0" applyFill="1" applyBorder="1" applyAlignment="1">
      <alignment horizontal="center"/>
    </xf>
    <xf numFmtId="0" fontId="0" fillId="15" borderId="93" xfId="0" applyFill="1" applyBorder="1" applyAlignment="1">
      <alignment horizontal="center"/>
    </xf>
    <xf numFmtId="0" fontId="0" fillId="12" borderId="93" xfId="0" applyFill="1" applyBorder="1" applyAlignment="1">
      <alignment horizontal="center"/>
    </xf>
    <xf numFmtId="0" fontId="0" fillId="14" borderId="90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91" xfId="0" applyFill="1" applyBorder="1" applyAlignment="1">
      <alignment horizontal="center"/>
    </xf>
    <xf numFmtId="0" fontId="0" fillId="11" borderId="97" xfId="0" applyFill="1" applyBorder="1" applyAlignment="1">
      <alignment horizontal="center"/>
    </xf>
    <xf numFmtId="0" fontId="0" fillId="11" borderId="98" xfId="0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DBAAE-9536-4BFD-84AE-9D3F97831887}" name="Broad_Skills" displayName="Broad_Skills" ref="F1:G15" totalsRowShown="0" headerRowDxfId="0">
  <autoFilter ref="F1:G15" xr:uid="{CFEDBAAE-9536-4BFD-84AE-9D3F97831887}">
    <filterColumn colId="0" hiddenButton="1"/>
    <filterColumn colId="1" hiddenButton="1"/>
  </autoFilter>
  <tableColumns count="2">
    <tableColumn id="1" xr3:uid="{A1615C36-682D-4198-9CED-9A5C72B153FE}" name="Umbrella Skills"/>
    <tableColumn id="2" xr3:uid="{54145917-5FD4-4EF8-8C9A-88FC53BA9AAD}" name="Aspe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21104-6568-4B16-BF01-73D1559D8593}" name="Table1" displayName="Table1" ref="A1:H16" totalsRowShown="0">
  <autoFilter ref="A1:H16" xr:uid="{8E621104-6568-4B16-BF01-73D1559D8593}"/>
  <tableColumns count="8">
    <tableColumn id="1" xr3:uid="{1223E98A-BD55-4C4E-8926-8D4768EECD4E}" name="Skill Name"/>
    <tableColumn id="2" xr3:uid="{149C279C-8581-4FAA-B55D-26577AF7BCF7}" name="Broad"/>
    <tableColumn id="3" xr3:uid="{F8B9A0A4-4DF7-4C39-9510-9F4725B97BBD}" name="Rank"/>
    <tableColumn id="4" xr3:uid="{17A0E6FA-7813-4FC4-BCC8-C3DDB747158B}" name="Techniques"/>
    <tableColumn id="5" xr3:uid="{E521EBD0-F8C2-459C-B0A8-10FCFCF1CFCF}" name="Edges"/>
    <tableColumn id="6" xr3:uid="{938908BF-4DCC-445F-B3D2-FF9B0B8A795F}" name="Target"/>
    <tableColumn id="7" xr3:uid="{3028E24F-FC0F-4F6B-BB06-1EC469DBBD6E}" name="Damage"/>
    <tableColumn id="8" xr3:uid="{17261C33-ED69-4EF4-8297-8AC56971CFDE}" name="Bulk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rallax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Tw Cen MT-Rockwell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76000"/>
                <a:satMod val="180000"/>
              </a:schemeClr>
              <a:schemeClr val="phClr">
                <a:tint val="80000"/>
                <a:satMod val="120000"/>
                <a:lumMod val="18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allax" id="{3388167B-A2EB-4685-9635-1831D9AEF8C4}" vid="{4F7A876A-7598-49CA-AFC8-8EDA2551E4A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5BA1-7730-4E5F-B9DF-9B41A4D96775}">
  <dimension ref="A1"/>
  <sheetViews>
    <sheetView showGridLines="0" showRowColHeaders="0" workbookViewId="0">
      <selection activeCell="A2" sqref="A2"/>
    </sheetView>
  </sheetViews>
  <sheetFormatPr defaultRowHeight="14.5" x14ac:dyDescent="0.3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3AB8-749A-4DCF-9E99-F8E6DF36D034}">
  <dimension ref="A1:FY110"/>
  <sheetViews>
    <sheetView showGridLines="0" showRowColHeaders="0" workbookViewId="0">
      <selection activeCell="BU80" sqref="BU80:BY81"/>
    </sheetView>
  </sheetViews>
  <sheetFormatPr defaultColWidth="1" defaultRowHeight="6" customHeight="1" x14ac:dyDescent="0.35"/>
  <cols>
    <col min="1" max="211" width="1" style="4" customWidth="1"/>
    <col min="212" max="16384" width="1" style="4"/>
  </cols>
  <sheetData>
    <row r="1" spans="1:123" s="3" customFormat="1" ht="6" customHeight="1" x14ac:dyDescent="0.35">
      <c r="A1" s="276" t="s">
        <v>0</v>
      </c>
      <c r="B1" s="277"/>
      <c r="C1" s="277"/>
      <c r="D1" s="277"/>
      <c r="E1" s="277"/>
      <c r="F1" s="278"/>
      <c r="G1" s="263" t="s">
        <v>204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  <c r="AP1" s="263"/>
      <c r="AQ1" s="263"/>
      <c r="AR1" s="263"/>
      <c r="AS1" s="263"/>
      <c r="AT1" s="263"/>
      <c r="AU1" s="263"/>
      <c r="AV1" s="263"/>
      <c r="AW1" s="263"/>
      <c r="AX1" s="263"/>
      <c r="AY1" s="263"/>
      <c r="AZ1" s="263"/>
      <c r="BA1" s="263"/>
      <c r="BB1" s="263"/>
      <c r="BC1" s="263"/>
      <c r="BD1" s="263"/>
      <c r="BE1" s="263"/>
      <c r="BF1" s="263"/>
      <c r="BG1" s="263"/>
      <c r="BH1" s="263"/>
      <c r="BI1" s="263"/>
      <c r="BJ1" s="276" t="s">
        <v>1</v>
      </c>
      <c r="BK1" s="277"/>
      <c r="BL1" s="277"/>
      <c r="BM1" s="277"/>
      <c r="BN1" s="277"/>
      <c r="BO1" s="277"/>
      <c r="BP1" s="277"/>
      <c r="BQ1" s="278"/>
      <c r="BR1" s="260" t="s">
        <v>193</v>
      </c>
      <c r="BS1" s="260"/>
      <c r="BT1" s="260"/>
      <c r="BU1" s="260"/>
      <c r="BV1" s="260"/>
      <c r="BW1" s="260"/>
      <c r="BX1" s="260"/>
      <c r="BY1" s="260"/>
      <c r="BZ1" s="260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60"/>
      <c r="CU1" s="260"/>
      <c r="CV1" s="260"/>
      <c r="CW1" s="260"/>
      <c r="CX1" s="260"/>
      <c r="CY1" s="260"/>
      <c r="CZ1" s="260"/>
      <c r="DA1" s="260"/>
      <c r="DB1" s="260"/>
      <c r="DC1" s="260"/>
      <c r="DD1" s="260"/>
      <c r="DE1" s="260"/>
      <c r="DF1" s="260"/>
      <c r="DG1" s="260"/>
      <c r="DH1" s="260"/>
      <c r="DI1" s="267" t="s">
        <v>2</v>
      </c>
      <c r="DJ1" s="268"/>
      <c r="DK1" s="268"/>
      <c r="DL1" s="268"/>
      <c r="DM1" s="268"/>
      <c r="DN1" s="268"/>
      <c r="DO1" s="268"/>
      <c r="DP1" s="268"/>
      <c r="DQ1" s="268"/>
      <c r="DR1" s="268"/>
      <c r="DS1" s="269"/>
    </row>
    <row r="2" spans="1:123" ht="6" customHeight="1" x14ac:dyDescent="0.35">
      <c r="A2" s="279"/>
      <c r="B2" s="280"/>
      <c r="C2" s="280"/>
      <c r="D2" s="280"/>
      <c r="E2" s="280"/>
      <c r="F2" s="281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79"/>
      <c r="BK2" s="280"/>
      <c r="BL2" s="280"/>
      <c r="BM2" s="280"/>
      <c r="BN2" s="280"/>
      <c r="BO2" s="280"/>
      <c r="BP2" s="280"/>
      <c r="BQ2" s="281"/>
      <c r="BR2" s="261"/>
      <c r="BS2" s="261"/>
      <c r="BT2" s="261"/>
      <c r="BU2" s="261"/>
      <c r="BV2" s="261"/>
      <c r="BW2" s="261"/>
      <c r="BX2" s="261"/>
      <c r="BY2" s="261"/>
      <c r="BZ2" s="261"/>
      <c r="CA2" s="261"/>
      <c r="CB2" s="261"/>
      <c r="CC2" s="261"/>
      <c r="CD2" s="261"/>
      <c r="CE2" s="261"/>
      <c r="CF2" s="261"/>
      <c r="CG2" s="261"/>
      <c r="CH2" s="261"/>
      <c r="CI2" s="261"/>
      <c r="CJ2" s="261"/>
      <c r="CK2" s="261"/>
      <c r="CL2" s="261"/>
      <c r="CM2" s="261"/>
      <c r="CN2" s="261"/>
      <c r="CO2" s="261"/>
      <c r="CP2" s="261"/>
      <c r="CQ2" s="261"/>
      <c r="CR2" s="261"/>
      <c r="CS2" s="261"/>
      <c r="CT2" s="261"/>
      <c r="CU2" s="261"/>
      <c r="CV2" s="261"/>
      <c r="CW2" s="261"/>
      <c r="CX2" s="261"/>
      <c r="CY2" s="261"/>
      <c r="CZ2" s="261"/>
      <c r="DA2" s="261"/>
      <c r="DB2" s="261"/>
      <c r="DC2" s="261"/>
      <c r="DD2" s="261"/>
      <c r="DE2" s="261"/>
      <c r="DF2" s="261"/>
      <c r="DG2" s="261"/>
      <c r="DH2" s="261"/>
      <c r="DI2" s="270"/>
      <c r="DJ2" s="271"/>
      <c r="DK2" s="271"/>
      <c r="DL2" s="271"/>
      <c r="DM2" s="271"/>
      <c r="DN2" s="271"/>
      <c r="DO2" s="271"/>
      <c r="DP2" s="271"/>
      <c r="DQ2" s="271"/>
      <c r="DR2" s="271"/>
      <c r="DS2" s="272"/>
    </row>
    <row r="3" spans="1:123" ht="6" customHeight="1" thickBot="1" x14ac:dyDescent="0.4">
      <c r="A3" s="282"/>
      <c r="B3" s="283"/>
      <c r="C3" s="283"/>
      <c r="D3" s="283"/>
      <c r="E3" s="283"/>
      <c r="F3" s="284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82"/>
      <c r="BK3" s="283"/>
      <c r="BL3" s="283"/>
      <c r="BM3" s="283"/>
      <c r="BN3" s="283"/>
      <c r="BO3" s="283"/>
      <c r="BP3" s="283"/>
      <c r="BQ3" s="284"/>
      <c r="BR3" s="262"/>
      <c r="BS3" s="262"/>
      <c r="BT3" s="262"/>
      <c r="BU3" s="262"/>
      <c r="BV3" s="262"/>
      <c r="BW3" s="262"/>
      <c r="BX3" s="262"/>
      <c r="BY3" s="262"/>
      <c r="BZ3" s="262"/>
      <c r="CA3" s="262"/>
      <c r="CB3" s="262"/>
      <c r="CC3" s="262"/>
      <c r="CD3" s="262"/>
      <c r="CE3" s="262"/>
      <c r="CF3" s="262"/>
      <c r="CG3" s="262"/>
      <c r="CH3" s="262"/>
      <c r="CI3" s="262"/>
      <c r="CJ3" s="262"/>
      <c r="CK3" s="262"/>
      <c r="CL3" s="262"/>
      <c r="CM3" s="262"/>
      <c r="CN3" s="262"/>
      <c r="CO3" s="262"/>
      <c r="CP3" s="262"/>
      <c r="CQ3" s="262"/>
      <c r="CR3" s="262"/>
      <c r="CS3" s="262"/>
      <c r="CT3" s="262"/>
      <c r="CU3" s="262"/>
      <c r="CV3" s="262"/>
      <c r="CW3" s="262"/>
      <c r="CX3" s="262"/>
      <c r="CY3" s="262"/>
      <c r="CZ3" s="262"/>
      <c r="DA3" s="262"/>
      <c r="DB3" s="262"/>
      <c r="DC3" s="262"/>
      <c r="DD3" s="262"/>
      <c r="DE3" s="262"/>
      <c r="DF3" s="262"/>
      <c r="DG3" s="262"/>
      <c r="DH3" s="262"/>
      <c r="DI3" s="273"/>
      <c r="DJ3" s="274"/>
      <c r="DK3" s="274"/>
      <c r="DL3" s="274"/>
      <c r="DM3" s="274"/>
      <c r="DN3" s="274"/>
      <c r="DO3" s="274"/>
      <c r="DP3" s="274"/>
      <c r="DQ3" s="274"/>
      <c r="DR3" s="274"/>
      <c r="DS3" s="275"/>
    </row>
    <row r="4" spans="1:123" ht="6" customHeight="1" x14ac:dyDescent="0.35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CC4" s="3"/>
    </row>
    <row r="5" spans="1:123" ht="6" customHeight="1" x14ac:dyDescent="0.35">
      <c r="A5" s="298" t="s">
        <v>3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86" t="s">
        <v>82</v>
      </c>
      <c r="AC5" s="286"/>
      <c r="AD5" s="286"/>
      <c r="AE5" s="286"/>
      <c r="AF5" s="286"/>
      <c r="AG5" s="286"/>
      <c r="AH5" s="286" t="s">
        <v>19</v>
      </c>
      <c r="AI5" s="286"/>
      <c r="AJ5" s="286"/>
      <c r="AK5" s="286"/>
      <c r="AL5" s="286" t="s">
        <v>20</v>
      </c>
      <c r="AM5" s="286"/>
      <c r="AN5" s="286"/>
      <c r="AO5" s="286"/>
      <c r="AP5" s="286" t="s">
        <v>18</v>
      </c>
      <c r="AQ5" s="286"/>
      <c r="AR5" s="286"/>
      <c r="AS5" s="286"/>
      <c r="AU5" s="266" t="s">
        <v>7</v>
      </c>
      <c r="AV5" s="266"/>
      <c r="AW5" s="266"/>
      <c r="AX5" s="266"/>
      <c r="AY5" s="266"/>
      <c r="AZ5" s="266"/>
      <c r="BA5" s="266"/>
      <c r="BB5" s="266"/>
      <c r="BD5" s="259" t="s">
        <v>5</v>
      </c>
      <c r="BE5" s="259"/>
      <c r="BF5" s="259"/>
      <c r="BG5" s="259"/>
      <c r="BH5" s="259"/>
      <c r="BI5" s="259"/>
      <c r="BJ5" s="259"/>
      <c r="BK5" s="259"/>
      <c r="BL5" s="259"/>
      <c r="BM5" s="259"/>
      <c r="BN5" s="259"/>
      <c r="BO5" s="259"/>
      <c r="BP5" s="259"/>
      <c r="BQ5" s="259"/>
      <c r="BR5" s="259"/>
      <c r="BS5" s="259"/>
      <c r="BT5" s="259"/>
      <c r="BU5" s="259"/>
      <c r="BW5" s="285" t="s">
        <v>8</v>
      </c>
      <c r="BX5" s="285"/>
      <c r="BY5" s="285"/>
      <c r="BZ5" s="285"/>
      <c r="CA5" s="285"/>
      <c r="CB5" s="285"/>
      <c r="CC5" s="285"/>
      <c r="CD5" s="285"/>
      <c r="CF5" s="220" t="s">
        <v>184</v>
      </c>
      <c r="CG5" s="220"/>
      <c r="CH5" s="220"/>
      <c r="CI5" s="220"/>
      <c r="CJ5" s="220"/>
      <c r="CK5" s="220"/>
      <c r="CL5" s="220"/>
      <c r="CM5" s="220"/>
      <c r="CN5" s="220"/>
      <c r="CO5" s="220"/>
      <c r="CP5" s="220"/>
      <c r="CQ5" s="220"/>
      <c r="CR5" s="220"/>
      <c r="CS5" s="220"/>
      <c r="CT5" s="220"/>
      <c r="CU5" s="220"/>
      <c r="CV5" s="220"/>
      <c r="CW5" s="220"/>
      <c r="CX5" s="220"/>
      <c r="CY5" s="220"/>
      <c r="CZ5" s="220"/>
      <c r="DA5" s="220"/>
      <c r="DB5" s="220"/>
      <c r="DC5" s="220"/>
      <c r="DD5" s="220"/>
      <c r="DE5" s="220"/>
      <c r="DF5" s="220"/>
      <c r="DG5" s="220"/>
      <c r="DH5" s="220"/>
      <c r="DI5" s="220"/>
      <c r="DJ5" s="220"/>
      <c r="DK5" s="220"/>
      <c r="DL5" s="220"/>
      <c r="DM5" s="220"/>
      <c r="DN5" s="220"/>
      <c r="DO5" s="219" t="s">
        <v>29</v>
      </c>
      <c r="DP5" s="219"/>
      <c r="DQ5" s="219"/>
      <c r="DR5" s="219"/>
      <c r="DS5" s="219"/>
    </row>
    <row r="6" spans="1:123" ht="6" customHeight="1" x14ac:dyDescent="0.35">
      <c r="A6" s="299"/>
      <c r="B6" s="299"/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299"/>
      <c r="AB6" s="306"/>
      <c r="AC6" s="306"/>
      <c r="AD6" s="306"/>
      <c r="AE6" s="306"/>
      <c r="AF6" s="306"/>
      <c r="AG6" s="306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U6" s="266"/>
      <c r="AV6" s="266"/>
      <c r="AW6" s="266"/>
      <c r="AX6" s="266"/>
      <c r="AY6" s="266"/>
      <c r="AZ6" s="266"/>
      <c r="BA6" s="266"/>
      <c r="BB6" s="266"/>
      <c r="BD6" s="259"/>
      <c r="BE6" s="259"/>
      <c r="BF6" s="259"/>
      <c r="BG6" s="259"/>
      <c r="BH6" s="259"/>
      <c r="BI6" s="259"/>
      <c r="BJ6" s="259"/>
      <c r="BK6" s="259"/>
      <c r="BL6" s="259"/>
      <c r="BM6" s="259"/>
      <c r="BN6" s="259"/>
      <c r="BO6" s="259"/>
      <c r="BP6" s="259"/>
      <c r="BQ6" s="259"/>
      <c r="BR6" s="259"/>
      <c r="BS6" s="259"/>
      <c r="BT6" s="259"/>
      <c r="BU6" s="259"/>
      <c r="BW6" s="285"/>
      <c r="BX6" s="285"/>
      <c r="BY6" s="285"/>
      <c r="BZ6" s="285"/>
      <c r="CA6" s="285"/>
      <c r="CB6" s="285"/>
      <c r="CC6" s="285"/>
      <c r="CD6" s="285"/>
      <c r="CF6" s="220"/>
      <c r="CG6" s="220"/>
      <c r="CH6" s="220"/>
      <c r="CI6" s="220"/>
      <c r="CJ6" s="220"/>
      <c r="CK6" s="220"/>
      <c r="CL6" s="220"/>
      <c r="CM6" s="220"/>
      <c r="CN6" s="220"/>
      <c r="CO6" s="220"/>
      <c r="CP6" s="220"/>
      <c r="CQ6" s="220"/>
      <c r="CR6" s="220"/>
      <c r="CS6" s="220"/>
      <c r="CT6" s="220"/>
      <c r="CU6" s="220"/>
      <c r="CV6" s="220"/>
      <c r="CW6" s="220"/>
      <c r="CX6" s="220"/>
      <c r="CY6" s="220"/>
      <c r="CZ6" s="220"/>
      <c r="DA6" s="220"/>
      <c r="DB6" s="220"/>
      <c r="DC6" s="220"/>
      <c r="DD6" s="220"/>
      <c r="DE6" s="220"/>
      <c r="DF6" s="220"/>
      <c r="DG6" s="220"/>
      <c r="DH6" s="220"/>
      <c r="DI6" s="220"/>
      <c r="DJ6" s="220"/>
      <c r="DK6" s="220"/>
      <c r="DL6" s="220"/>
      <c r="DM6" s="220"/>
      <c r="DN6" s="220"/>
      <c r="DO6" s="219"/>
      <c r="DP6" s="219"/>
      <c r="DQ6" s="219"/>
      <c r="DR6" s="219"/>
      <c r="DS6" s="219"/>
    </row>
    <row r="7" spans="1:123" ht="6" customHeight="1" x14ac:dyDescent="0.35">
      <c r="A7" s="213" t="s">
        <v>21</v>
      </c>
      <c r="B7" s="214"/>
      <c r="C7" s="214"/>
      <c r="D7" s="214"/>
      <c r="E7" s="205" t="s">
        <v>194</v>
      </c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307" t="str">
        <f>_xlfn.XLOOKUP(E9,'Skill Calcs'!$F$2:$F$15,'Skill Calcs'!$G$2:$G$15,"",0,1)</f>
        <v>Mind</v>
      </c>
      <c r="AC7" s="307"/>
      <c r="AD7" s="307"/>
      <c r="AE7" s="307"/>
      <c r="AF7" s="307"/>
      <c r="AG7" s="307"/>
      <c r="AH7" s="190">
        <v>6</v>
      </c>
      <c r="AI7" s="190"/>
      <c r="AJ7" s="190"/>
      <c r="AK7" s="191"/>
      <c r="AL7" s="189">
        <f>IF(_CTR_1&gt;0,_CTR_1,"")</f>
        <v>2</v>
      </c>
      <c r="AM7" s="190"/>
      <c r="AN7" s="190"/>
      <c r="AO7" s="191"/>
      <c r="AP7" s="189"/>
      <c r="AQ7" s="190"/>
      <c r="AR7" s="190"/>
      <c r="AS7" s="197"/>
      <c r="AU7" s="290">
        <v>5</v>
      </c>
      <c r="AV7" s="291"/>
      <c r="AW7" s="291"/>
      <c r="AX7" s="291"/>
      <c r="AY7" s="291"/>
      <c r="AZ7" s="291"/>
      <c r="BA7" s="291"/>
      <c r="BB7" s="292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W7" s="251">
        <v>3</v>
      </c>
      <c r="BX7" s="252"/>
      <c r="BY7" s="252"/>
      <c r="BZ7" s="252"/>
      <c r="CA7" s="252"/>
      <c r="CB7" s="252"/>
      <c r="CC7" s="252"/>
      <c r="CD7" s="253"/>
      <c r="CF7" s="152" t="s">
        <v>189</v>
      </c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4"/>
      <c r="DO7" s="152">
        <v>3</v>
      </c>
      <c r="DP7" s="153"/>
      <c r="DQ7" s="153"/>
      <c r="DR7" s="153"/>
      <c r="DS7" s="154"/>
    </row>
    <row r="8" spans="1:123" ht="6" customHeight="1" x14ac:dyDescent="0.35">
      <c r="A8" s="199"/>
      <c r="B8" s="200"/>
      <c r="C8" s="200"/>
      <c r="D8" s="200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307"/>
      <c r="AC8" s="307"/>
      <c r="AD8" s="307"/>
      <c r="AE8" s="307"/>
      <c r="AF8" s="307"/>
      <c r="AG8" s="307"/>
      <c r="AH8" s="162"/>
      <c r="AI8" s="162"/>
      <c r="AJ8" s="162"/>
      <c r="AK8" s="193"/>
      <c r="AL8" s="192"/>
      <c r="AM8" s="162"/>
      <c r="AN8" s="162"/>
      <c r="AO8" s="193"/>
      <c r="AP8" s="192"/>
      <c r="AQ8" s="162"/>
      <c r="AR8" s="162"/>
      <c r="AS8" s="163"/>
      <c r="AU8" s="293"/>
      <c r="AV8" s="255"/>
      <c r="AW8" s="255"/>
      <c r="AX8" s="255"/>
      <c r="AY8" s="255"/>
      <c r="AZ8" s="255"/>
      <c r="BA8" s="255"/>
      <c r="BB8" s="294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W8" s="254"/>
      <c r="BX8" s="255"/>
      <c r="BY8" s="255"/>
      <c r="BZ8" s="255"/>
      <c r="CA8" s="255"/>
      <c r="CB8" s="255"/>
      <c r="CC8" s="255"/>
      <c r="CD8" s="256"/>
      <c r="CF8" s="155"/>
      <c r="CG8" s="156"/>
      <c r="CH8" s="156"/>
      <c r="CI8" s="156"/>
      <c r="CJ8" s="156"/>
      <c r="CK8" s="156"/>
      <c r="CL8" s="156"/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B8" s="156"/>
      <c r="DC8" s="156"/>
      <c r="DD8" s="156"/>
      <c r="DE8" s="156"/>
      <c r="DF8" s="156"/>
      <c r="DG8" s="156"/>
      <c r="DH8" s="156"/>
      <c r="DI8" s="156"/>
      <c r="DJ8" s="156"/>
      <c r="DK8" s="156"/>
      <c r="DL8" s="156"/>
      <c r="DM8" s="156"/>
      <c r="DN8" s="157"/>
      <c r="DO8" s="155"/>
      <c r="DP8" s="156"/>
      <c r="DQ8" s="156"/>
      <c r="DR8" s="156"/>
      <c r="DS8" s="157"/>
    </row>
    <row r="9" spans="1:123" ht="6" customHeight="1" x14ac:dyDescent="0.35">
      <c r="A9" s="199" t="s">
        <v>23</v>
      </c>
      <c r="B9" s="200"/>
      <c r="C9" s="200"/>
      <c r="D9" s="200"/>
      <c r="E9" s="205" t="s">
        <v>53</v>
      </c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307"/>
      <c r="AC9" s="307"/>
      <c r="AD9" s="307"/>
      <c r="AE9" s="307"/>
      <c r="AF9" s="307"/>
      <c r="AG9" s="307"/>
      <c r="AH9" s="195"/>
      <c r="AI9" s="195"/>
      <c r="AJ9" s="195"/>
      <c r="AK9" s="196"/>
      <c r="AL9" s="194"/>
      <c r="AM9" s="195"/>
      <c r="AN9" s="195"/>
      <c r="AO9" s="196"/>
      <c r="AP9" s="194"/>
      <c r="AQ9" s="195"/>
      <c r="AR9" s="195"/>
      <c r="AS9" s="198"/>
      <c r="AU9" s="293"/>
      <c r="AV9" s="255"/>
      <c r="AW9" s="255"/>
      <c r="AX9" s="255"/>
      <c r="AY9" s="255"/>
      <c r="AZ9" s="255"/>
      <c r="BA9" s="255"/>
      <c r="BB9" s="294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W9" s="254"/>
      <c r="BX9" s="255"/>
      <c r="BY9" s="255"/>
      <c r="BZ9" s="255"/>
      <c r="CA9" s="255"/>
      <c r="CB9" s="255"/>
      <c r="CC9" s="255"/>
      <c r="CD9" s="256"/>
      <c r="CF9" s="152" t="s">
        <v>191</v>
      </c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4"/>
      <c r="DO9" s="152">
        <v>14</v>
      </c>
      <c r="DP9" s="153"/>
      <c r="DQ9" s="153"/>
      <c r="DR9" s="153"/>
      <c r="DS9" s="154"/>
    </row>
    <row r="10" spans="1:123" ht="6" customHeight="1" x14ac:dyDescent="0.35">
      <c r="A10" s="199"/>
      <c r="B10" s="200"/>
      <c r="C10" s="200"/>
      <c r="D10" s="200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307"/>
      <c r="AC10" s="307"/>
      <c r="AD10" s="307"/>
      <c r="AE10" s="307"/>
      <c r="AF10" s="307"/>
      <c r="AG10" s="307"/>
      <c r="AH10" s="170" t="s">
        <v>33</v>
      </c>
      <c r="AI10" s="171"/>
      <c r="AJ10" s="203"/>
      <c r="AK10" s="160"/>
      <c r="AL10" s="160"/>
      <c r="AM10" s="204"/>
      <c r="AN10" s="170" t="s">
        <v>25</v>
      </c>
      <c r="AO10" s="171"/>
      <c r="AP10" s="203"/>
      <c r="AQ10" s="160"/>
      <c r="AR10" s="160"/>
      <c r="AS10" s="161"/>
      <c r="AU10" s="295"/>
      <c r="AV10" s="296"/>
      <c r="AW10" s="296"/>
      <c r="AX10" s="296"/>
      <c r="AY10" s="296"/>
      <c r="AZ10" s="296"/>
      <c r="BA10" s="296"/>
      <c r="BB10" s="297"/>
      <c r="BD10" s="259"/>
      <c r="BE10" s="259"/>
      <c r="BF10" s="259"/>
      <c r="BG10" s="259"/>
      <c r="BH10" s="259"/>
      <c r="BI10" s="259"/>
      <c r="BJ10" s="259"/>
      <c r="BK10" s="259"/>
      <c r="BL10" s="259"/>
      <c r="BM10" s="259"/>
      <c r="BN10" s="259"/>
      <c r="BO10" s="259"/>
      <c r="BP10" s="259"/>
      <c r="BQ10" s="259"/>
      <c r="BR10" s="259"/>
      <c r="BS10" s="259"/>
      <c r="BT10" s="259"/>
      <c r="BU10" s="259"/>
      <c r="BW10" s="254"/>
      <c r="BX10" s="255"/>
      <c r="BY10" s="255"/>
      <c r="BZ10" s="255"/>
      <c r="CA10" s="257"/>
      <c r="CB10" s="257"/>
      <c r="CC10" s="257"/>
      <c r="CD10" s="258"/>
      <c r="CF10" s="155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/>
      <c r="DD10" s="156"/>
      <c r="DE10" s="156"/>
      <c r="DF10" s="156"/>
      <c r="DG10" s="156"/>
      <c r="DH10" s="156"/>
      <c r="DI10" s="156"/>
      <c r="DJ10" s="156"/>
      <c r="DK10" s="156"/>
      <c r="DL10" s="156"/>
      <c r="DM10" s="156"/>
      <c r="DN10" s="157"/>
      <c r="DO10" s="155"/>
      <c r="DP10" s="156"/>
      <c r="DQ10" s="156"/>
      <c r="DR10" s="156"/>
      <c r="DS10" s="157"/>
    </row>
    <row r="11" spans="1:123" ht="6" customHeight="1" x14ac:dyDescent="0.35">
      <c r="A11" s="183" t="s">
        <v>62</v>
      </c>
      <c r="B11" s="184"/>
      <c r="C11" s="184"/>
      <c r="D11" s="185"/>
      <c r="E11" s="287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/>
      <c r="R11" s="288"/>
      <c r="S11" s="288"/>
      <c r="T11" s="288"/>
      <c r="U11" s="288"/>
      <c r="V11" s="288"/>
      <c r="W11" s="288"/>
      <c r="X11" s="288"/>
      <c r="Y11" s="288"/>
      <c r="Z11" s="288"/>
      <c r="AA11" s="288"/>
      <c r="AB11" s="288"/>
      <c r="AC11" s="288"/>
      <c r="AD11" s="288"/>
      <c r="AE11" s="288"/>
      <c r="AF11" s="288"/>
      <c r="AG11" s="289"/>
      <c r="AH11" s="181"/>
      <c r="AI11" s="201"/>
      <c r="AJ11" s="192"/>
      <c r="AK11" s="162"/>
      <c r="AL11" s="162"/>
      <c r="AM11" s="193"/>
      <c r="AN11" s="181"/>
      <c r="AO11" s="201"/>
      <c r="AP11" s="192"/>
      <c r="AQ11" s="162"/>
      <c r="AR11" s="162"/>
      <c r="AS11" s="163"/>
      <c r="AU11" s="221" t="s">
        <v>9</v>
      </c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3" t="s">
        <v>27</v>
      </c>
      <c r="BH11" s="224"/>
      <c r="BI11" s="127">
        <f>3*(AU7+1)</f>
        <v>18</v>
      </c>
      <c r="BJ11" s="128"/>
      <c r="BK11" s="128"/>
      <c r="BL11" s="128"/>
      <c r="BM11" s="227" t="s">
        <v>10</v>
      </c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33" t="s">
        <v>27</v>
      </c>
      <c r="BZ11" s="234"/>
      <c r="CA11" s="142">
        <f>3*(BW7+1)</f>
        <v>12</v>
      </c>
      <c r="CB11" s="142"/>
      <c r="CC11" s="142"/>
      <c r="CD11" s="143"/>
      <c r="CE11" s="5"/>
      <c r="CF11" s="152" t="s">
        <v>190</v>
      </c>
      <c r="CG11" s="153"/>
      <c r="CH11" s="153"/>
      <c r="CI11" s="153"/>
      <c r="CJ11" s="153"/>
      <c r="CK11" s="153"/>
      <c r="CL11" s="153"/>
      <c r="CM11" s="153"/>
      <c r="CN11" s="153"/>
      <c r="CO11" s="153"/>
      <c r="CP11" s="153"/>
      <c r="CQ11" s="153"/>
      <c r="CR11" s="153"/>
      <c r="CS11" s="153"/>
      <c r="CT11" s="153"/>
      <c r="CU11" s="153"/>
      <c r="CV11" s="153"/>
      <c r="CW11" s="153"/>
      <c r="CX11" s="153"/>
      <c r="CY11" s="153"/>
      <c r="CZ11" s="153"/>
      <c r="DA11" s="153"/>
      <c r="DB11" s="153"/>
      <c r="DC11" s="153"/>
      <c r="DD11" s="153"/>
      <c r="DE11" s="153"/>
      <c r="DF11" s="153"/>
      <c r="DG11" s="153"/>
      <c r="DH11" s="153"/>
      <c r="DI11" s="153"/>
      <c r="DJ11" s="153"/>
      <c r="DK11" s="153"/>
      <c r="DL11" s="153"/>
      <c r="DM11" s="153"/>
      <c r="DN11" s="154"/>
      <c r="DO11" s="152">
        <v>6</v>
      </c>
      <c r="DP11" s="153"/>
      <c r="DQ11" s="153"/>
      <c r="DR11" s="153"/>
      <c r="DS11" s="154"/>
    </row>
    <row r="12" spans="1:123" ht="6" customHeight="1" x14ac:dyDescent="0.35">
      <c r="A12" s="183"/>
      <c r="B12" s="184"/>
      <c r="C12" s="184"/>
      <c r="D12" s="185"/>
      <c r="E12" s="173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210"/>
      <c r="AH12" s="182"/>
      <c r="AI12" s="202"/>
      <c r="AJ12" s="194"/>
      <c r="AK12" s="195"/>
      <c r="AL12" s="195"/>
      <c r="AM12" s="196"/>
      <c r="AN12" s="182"/>
      <c r="AO12" s="202"/>
      <c r="AP12" s="194"/>
      <c r="AQ12" s="195"/>
      <c r="AR12" s="195"/>
      <c r="AS12" s="198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3"/>
      <c r="BH12" s="224"/>
      <c r="BI12" s="109"/>
      <c r="BJ12" s="110"/>
      <c r="BK12" s="110"/>
      <c r="BL12" s="110"/>
      <c r="BM12" s="229"/>
      <c r="BN12" s="230"/>
      <c r="BO12" s="230"/>
      <c r="BP12" s="230"/>
      <c r="BQ12" s="230"/>
      <c r="BR12" s="230"/>
      <c r="BS12" s="230"/>
      <c r="BT12" s="230"/>
      <c r="BU12" s="230"/>
      <c r="BV12" s="230"/>
      <c r="BW12" s="230"/>
      <c r="BX12" s="230"/>
      <c r="BY12" s="235"/>
      <c r="BZ12" s="236"/>
      <c r="CA12" s="110"/>
      <c r="CB12" s="110"/>
      <c r="CC12" s="110"/>
      <c r="CD12" s="138"/>
      <c r="CE12" s="5"/>
      <c r="CF12" s="155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/>
      <c r="DE12" s="156"/>
      <c r="DF12" s="156"/>
      <c r="DG12" s="156"/>
      <c r="DH12" s="156"/>
      <c r="DI12" s="156"/>
      <c r="DJ12" s="156"/>
      <c r="DK12" s="156"/>
      <c r="DL12" s="156"/>
      <c r="DM12" s="156"/>
      <c r="DN12" s="157"/>
      <c r="DO12" s="155"/>
      <c r="DP12" s="156"/>
      <c r="DQ12" s="156"/>
      <c r="DR12" s="156"/>
      <c r="DS12" s="157"/>
    </row>
    <row r="13" spans="1:123" ht="6" customHeight="1" x14ac:dyDescent="0.35">
      <c r="A13" s="183"/>
      <c r="B13" s="184"/>
      <c r="C13" s="184"/>
      <c r="D13" s="185"/>
      <c r="E13" s="166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75" t="s">
        <v>26</v>
      </c>
      <c r="AN13" s="176"/>
      <c r="AO13" s="170"/>
      <c r="AP13" s="160">
        <f>AL7-AJ10</f>
        <v>2</v>
      </c>
      <c r="AQ13" s="160"/>
      <c r="AR13" s="160"/>
      <c r="AS13" s="161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5"/>
      <c r="BH13" s="226"/>
      <c r="BI13" s="130"/>
      <c r="BJ13" s="131"/>
      <c r="BK13" s="131"/>
      <c r="BL13" s="131"/>
      <c r="BM13" s="231"/>
      <c r="BN13" s="232"/>
      <c r="BO13" s="232"/>
      <c r="BP13" s="232"/>
      <c r="BQ13" s="232"/>
      <c r="BR13" s="232"/>
      <c r="BS13" s="232"/>
      <c r="BT13" s="232"/>
      <c r="BU13" s="232"/>
      <c r="BV13" s="232"/>
      <c r="BW13" s="232"/>
      <c r="BX13" s="232"/>
      <c r="BY13" s="237"/>
      <c r="BZ13" s="238"/>
      <c r="CA13" s="140"/>
      <c r="CB13" s="140"/>
      <c r="CC13" s="140"/>
      <c r="CD13" s="141"/>
      <c r="CE13" s="5"/>
      <c r="CF13" s="152" t="s">
        <v>195</v>
      </c>
      <c r="CG13" s="153"/>
      <c r="CH13" s="153"/>
      <c r="CI13" s="153"/>
      <c r="CJ13" s="153"/>
      <c r="CK13" s="153"/>
      <c r="CL13" s="153"/>
      <c r="CM13" s="153"/>
      <c r="CN13" s="153"/>
      <c r="CO13" s="153"/>
      <c r="CP13" s="153"/>
      <c r="CQ13" s="153"/>
      <c r="CR13" s="153"/>
      <c r="CS13" s="153"/>
      <c r="CT13" s="153"/>
      <c r="CU13" s="153"/>
      <c r="CV13" s="153"/>
      <c r="CW13" s="153"/>
      <c r="CX13" s="153"/>
      <c r="CY13" s="153"/>
      <c r="CZ13" s="153"/>
      <c r="DA13" s="153"/>
      <c r="DB13" s="153"/>
      <c r="DC13" s="153"/>
      <c r="DD13" s="153"/>
      <c r="DE13" s="153"/>
      <c r="DF13" s="153"/>
      <c r="DG13" s="153"/>
      <c r="DH13" s="153"/>
      <c r="DI13" s="153"/>
      <c r="DJ13" s="153"/>
      <c r="DK13" s="153"/>
      <c r="DL13" s="153"/>
      <c r="DM13" s="153"/>
      <c r="DN13" s="154"/>
      <c r="DO13" s="152">
        <v>25</v>
      </c>
      <c r="DP13" s="153"/>
      <c r="DQ13" s="153"/>
      <c r="DR13" s="153"/>
      <c r="DS13" s="154"/>
    </row>
    <row r="14" spans="1:123" ht="6" customHeight="1" x14ac:dyDescent="0.35">
      <c r="A14" s="183"/>
      <c r="B14" s="184"/>
      <c r="C14" s="184"/>
      <c r="D14" s="185"/>
      <c r="E14" s="173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7"/>
      <c r="AN14" s="178"/>
      <c r="AO14" s="181"/>
      <c r="AP14" s="162"/>
      <c r="AQ14" s="162"/>
      <c r="AR14" s="162"/>
      <c r="AS14" s="163"/>
      <c r="AU14" s="127"/>
      <c r="AV14" s="128"/>
      <c r="AW14" s="128"/>
      <c r="AX14" s="128"/>
      <c r="AY14" s="128"/>
      <c r="AZ14" s="128"/>
      <c r="BA14" s="128"/>
      <c r="BB14" s="128"/>
      <c r="BC14" s="129"/>
      <c r="BD14" s="127"/>
      <c r="BE14" s="128"/>
      <c r="BF14" s="128"/>
      <c r="BG14" s="128"/>
      <c r="BH14" s="128"/>
      <c r="BI14" s="128"/>
      <c r="BJ14" s="128"/>
      <c r="BK14" s="128"/>
      <c r="BL14" s="128"/>
      <c r="BM14" s="137"/>
      <c r="BN14" s="110"/>
      <c r="BO14" s="110"/>
      <c r="BP14" s="110"/>
      <c r="BQ14" s="110"/>
      <c r="BR14" s="110"/>
      <c r="BS14" s="110"/>
      <c r="BT14" s="110"/>
      <c r="BU14" s="138"/>
      <c r="BV14" s="137"/>
      <c r="BW14" s="110"/>
      <c r="BX14" s="110"/>
      <c r="BY14" s="110"/>
      <c r="BZ14" s="110"/>
      <c r="CA14" s="142"/>
      <c r="CB14" s="142"/>
      <c r="CC14" s="142"/>
      <c r="CD14" s="143"/>
      <c r="CF14" s="155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G14" s="156"/>
      <c r="DH14" s="156"/>
      <c r="DI14" s="156"/>
      <c r="DJ14" s="156"/>
      <c r="DK14" s="156"/>
      <c r="DL14" s="156"/>
      <c r="DM14" s="156"/>
      <c r="DN14" s="157"/>
      <c r="DO14" s="155"/>
      <c r="DP14" s="156"/>
      <c r="DQ14" s="156"/>
      <c r="DR14" s="156"/>
      <c r="DS14" s="157"/>
    </row>
    <row r="15" spans="1:123" ht="6" customHeight="1" x14ac:dyDescent="0.35">
      <c r="A15" s="183"/>
      <c r="B15" s="184"/>
      <c r="C15" s="184"/>
      <c r="D15" s="185"/>
      <c r="E15" s="166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79"/>
      <c r="AN15" s="180"/>
      <c r="AO15" s="182"/>
      <c r="AP15" s="162"/>
      <c r="AQ15" s="162"/>
      <c r="AR15" s="162"/>
      <c r="AS15" s="163"/>
      <c r="AU15" s="109"/>
      <c r="AV15" s="110"/>
      <c r="AW15" s="110"/>
      <c r="AX15" s="110"/>
      <c r="AY15" s="110"/>
      <c r="AZ15" s="110"/>
      <c r="BA15" s="110"/>
      <c r="BB15" s="110"/>
      <c r="BC15" s="125"/>
      <c r="BD15" s="109"/>
      <c r="BE15" s="110"/>
      <c r="BF15" s="110"/>
      <c r="BG15" s="110"/>
      <c r="BH15" s="110"/>
      <c r="BI15" s="110"/>
      <c r="BJ15" s="110"/>
      <c r="BK15" s="110"/>
      <c r="BL15" s="110"/>
      <c r="BM15" s="137"/>
      <c r="BN15" s="110"/>
      <c r="BO15" s="110"/>
      <c r="BP15" s="110"/>
      <c r="BQ15" s="110"/>
      <c r="BR15" s="110"/>
      <c r="BS15" s="110"/>
      <c r="BT15" s="110"/>
      <c r="BU15" s="138"/>
      <c r="BV15" s="137"/>
      <c r="BW15" s="110"/>
      <c r="BX15" s="110"/>
      <c r="BY15" s="110"/>
      <c r="BZ15" s="110"/>
      <c r="CA15" s="110"/>
      <c r="CB15" s="110"/>
      <c r="CC15" s="110"/>
      <c r="CD15" s="138"/>
      <c r="CF15" s="152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4"/>
      <c r="DO15" s="152"/>
      <c r="DP15" s="153"/>
      <c r="DQ15" s="153"/>
      <c r="DR15" s="153"/>
      <c r="DS15" s="154"/>
    </row>
    <row r="16" spans="1:123" ht="6" customHeight="1" x14ac:dyDescent="0.35">
      <c r="A16" s="186"/>
      <c r="B16" s="187"/>
      <c r="C16" s="187"/>
      <c r="D16" s="188"/>
      <c r="E16" s="168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70"/>
      <c r="AN16" s="171"/>
      <c r="AO16" s="9"/>
      <c r="AP16" s="164"/>
      <c r="AQ16" s="164"/>
      <c r="AR16" s="164"/>
      <c r="AS16" s="165"/>
      <c r="AU16" s="109"/>
      <c r="AV16" s="110"/>
      <c r="AW16" s="110"/>
      <c r="AX16" s="110"/>
      <c r="AY16" s="110"/>
      <c r="AZ16" s="110"/>
      <c r="BA16" s="110"/>
      <c r="BB16" s="110"/>
      <c r="BC16" s="125"/>
      <c r="BD16" s="109"/>
      <c r="BE16" s="110"/>
      <c r="BF16" s="110"/>
      <c r="BG16" s="110"/>
      <c r="BH16" s="110"/>
      <c r="BI16" s="110"/>
      <c r="BJ16" s="110"/>
      <c r="BK16" s="110"/>
      <c r="BL16" s="110"/>
      <c r="BM16" s="137"/>
      <c r="BN16" s="110"/>
      <c r="BO16" s="110"/>
      <c r="BP16" s="110"/>
      <c r="BQ16" s="110"/>
      <c r="BR16" s="110"/>
      <c r="BS16" s="110"/>
      <c r="BT16" s="110"/>
      <c r="BU16" s="138"/>
      <c r="BV16" s="137"/>
      <c r="BW16" s="110"/>
      <c r="BX16" s="110"/>
      <c r="BY16" s="110"/>
      <c r="BZ16" s="110"/>
      <c r="CA16" s="110"/>
      <c r="CB16" s="110"/>
      <c r="CC16" s="110"/>
      <c r="CD16" s="138"/>
      <c r="CF16" s="155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B16" s="156"/>
      <c r="DC16" s="156"/>
      <c r="DD16" s="156"/>
      <c r="DE16" s="156"/>
      <c r="DF16" s="156"/>
      <c r="DG16" s="156"/>
      <c r="DH16" s="156"/>
      <c r="DI16" s="156"/>
      <c r="DJ16" s="156"/>
      <c r="DK16" s="156"/>
      <c r="DL16" s="156"/>
      <c r="DM16" s="156"/>
      <c r="DN16" s="157"/>
      <c r="DO16" s="155"/>
      <c r="DP16" s="156"/>
      <c r="DQ16" s="156"/>
      <c r="DR16" s="156"/>
      <c r="DS16" s="157"/>
    </row>
    <row r="17" spans="1:123" ht="6" customHeight="1" x14ac:dyDescent="0.35">
      <c r="A17" s="213" t="s">
        <v>21</v>
      </c>
      <c r="B17" s="214"/>
      <c r="C17" s="214"/>
      <c r="D17" s="214"/>
      <c r="E17" s="205" t="s">
        <v>196</v>
      </c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307" t="str">
        <f>_xlfn.XLOOKUP(E19,'Skill Calcs'!$F$2:$F$15,'Skill Calcs'!$G$2:$G$15,"",0,1)</f>
        <v>Mind</v>
      </c>
      <c r="AC17" s="307"/>
      <c r="AD17" s="307"/>
      <c r="AE17" s="307"/>
      <c r="AF17" s="307"/>
      <c r="AG17" s="307"/>
      <c r="AH17" s="189">
        <v>6</v>
      </c>
      <c r="AI17" s="190"/>
      <c r="AJ17" s="190"/>
      <c r="AK17" s="191"/>
      <c r="AL17" s="189">
        <f>IF(_CTR_2&gt;0,_CTR_2,"")</f>
        <v>3</v>
      </c>
      <c r="AM17" s="190"/>
      <c r="AN17" s="190"/>
      <c r="AO17" s="191"/>
      <c r="AP17" s="189">
        <v>8</v>
      </c>
      <c r="AQ17" s="190"/>
      <c r="AR17" s="190"/>
      <c r="AS17" s="197"/>
      <c r="AU17" s="109"/>
      <c r="AV17" s="110"/>
      <c r="AW17" s="110"/>
      <c r="AX17" s="110"/>
      <c r="AY17" s="110"/>
      <c r="AZ17" s="110"/>
      <c r="BA17" s="110"/>
      <c r="BB17" s="110"/>
      <c r="BC17" s="125"/>
      <c r="BD17" s="109"/>
      <c r="BE17" s="110"/>
      <c r="BF17" s="110"/>
      <c r="BG17" s="110"/>
      <c r="BH17" s="110"/>
      <c r="BI17" s="110"/>
      <c r="BJ17" s="110"/>
      <c r="BK17" s="110"/>
      <c r="BL17" s="110"/>
      <c r="BM17" s="137"/>
      <c r="BN17" s="110"/>
      <c r="BO17" s="110"/>
      <c r="BP17" s="110"/>
      <c r="BQ17" s="110"/>
      <c r="BR17" s="110"/>
      <c r="BS17" s="110"/>
      <c r="BT17" s="110"/>
      <c r="BU17" s="138"/>
      <c r="BV17" s="137"/>
      <c r="BW17" s="110"/>
      <c r="BX17" s="110"/>
      <c r="BY17" s="110"/>
      <c r="BZ17" s="110"/>
      <c r="CA17" s="110"/>
      <c r="CB17" s="110"/>
      <c r="CC17" s="110"/>
      <c r="CD17" s="138"/>
      <c r="CF17" s="152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3"/>
      <c r="DK17" s="153"/>
      <c r="DL17" s="153"/>
      <c r="DM17" s="153"/>
      <c r="DN17" s="154"/>
      <c r="DO17" s="152"/>
      <c r="DP17" s="153"/>
      <c r="DQ17" s="153"/>
      <c r="DR17" s="153"/>
      <c r="DS17" s="154"/>
    </row>
    <row r="18" spans="1:123" ht="6" customHeight="1" x14ac:dyDescent="0.35">
      <c r="A18" s="199"/>
      <c r="B18" s="200"/>
      <c r="C18" s="200"/>
      <c r="D18" s="200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307"/>
      <c r="AC18" s="307"/>
      <c r="AD18" s="307"/>
      <c r="AE18" s="307"/>
      <c r="AF18" s="307"/>
      <c r="AG18" s="307"/>
      <c r="AH18" s="192"/>
      <c r="AI18" s="162"/>
      <c r="AJ18" s="162"/>
      <c r="AK18" s="193"/>
      <c r="AL18" s="192"/>
      <c r="AM18" s="162"/>
      <c r="AN18" s="162"/>
      <c r="AO18" s="193"/>
      <c r="AP18" s="192"/>
      <c r="AQ18" s="162"/>
      <c r="AR18" s="162"/>
      <c r="AS18" s="163"/>
      <c r="AU18" s="130"/>
      <c r="AV18" s="131"/>
      <c r="AW18" s="131"/>
      <c r="AX18" s="131"/>
      <c r="AY18" s="131"/>
      <c r="AZ18" s="131"/>
      <c r="BA18" s="131"/>
      <c r="BB18" s="131"/>
      <c r="BC18" s="132"/>
      <c r="BD18" s="130"/>
      <c r="BE18" s="131"/>
      <c r="BF18" s="131"/>
      <c r="BG18" s="131"/>
      <c r="BH18" s="131"/>
      <c r="BI18" s="131"/>
      <c r="BJ18" s="131"/>
      <c r="BK18" s="131"/>
      <c r="BL18" s="131"/>
      <c r="BM18" s="139"/>
      <c r="BN18" s="140"/>
      <c r="BO18" s="140"/>
      <c r="BP18" s="140"/>
      <c r="BQ18" s="140"/>
      <c r="BR18" s="140"/>
      <c r="BS18" s="140"/>
      <c r="BT18" s="140"/>
      <c r="BU18" s="141"/>
      <c r="BV18" s="139"/>
      <c r="BW18" s="140"/>
      <c r="BX18" s="140"/>
      <c r="BY18" s="140"/>
      <c r="BZ18" s="140"/>
      <c r="CA18" s="140"/>
      <c r="CB18" s="140"/>
      <c r="CC18" s="140"/>
      <c r="CD18" s="141"/>
      <c r="CF18" s="155"/>
      <c r="CG18" s="156"/>
      <c r="CH18" s="156"/>
      <c r="CI18" s="156"/>
      <c r="CJ18" s="156"/>
      <c r="CK18" s="156"/>
      <c r="CL18" s="156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/>
      <c r="DD18" s="156"/>
      <c r="DE18" s="156"/>
      <c r="DF18" s="156"/>
      <c r="DG18" s="156"/>
      <c r="DH18" s="156"/>
      <c r="DI18" s="156"/>
      <c r="DJ18" s="156"/>
      <c r="DK18" s="156"/>
      <c r="DL18" s="156"/>
      <c r="DM18" s="156"/>
      <c r="DN18" s="157"/>
      <c r="DO18" s="155"/>
      <c r="DP18" s="156"/>
      <c r="DQ18" s="156"/>
      <c r="DR18" s="156"/>
      <c r="DS18" s="157"/>
    </row>
    <row r="19" spans="1:123" ht="6" customHeight="1" x14ac:dyDescent="0.35">
      <c r="A19" s="199" t="s">
        <v>23</v>
      </c>
      <c r="B19" s="200"/>
      <c r="C19" s="200"/>
      <c r="D19" s="200"/>
      <c r="E19" s="205" t="s">
        <v>56</v>
      </c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307"/>
      <c r="AC19" s="307"/>
      <c r="AD19" s="307"/>
      <c r="AE19" s="307"/>
      <c r="AF19" s="307"/>
      <c r="AG19" s="307"/>
      <c r="AH19" s="194"/>
      <c r="AI19" s="195"/>
      <c r="AJ19" s="195"/>
      <c r="AK19" s="196"/>
      <c r="AL19" s="194"/>
      <c r="AM19" s="195"/>
      <c r="AN19" s="195"/>
      <c r="AO19" s="196"/>
      <c r="AP19" s="194"/>
      <c r="AQ19" s="195"/>
      <c r="AR19" s="195"/>
      <c r="AS19" s="198"/>
      <c r="AU19" s="133" t="s">
        <v>12</v>
      </c>
      <c r="AV19" s="134"/>
      <c r="AW19" s="134"/>
      <c r="AX19" s="134"/>
      <c r="AY19" s="134"/>
      <c r="AZ19" s="134"/>
      <c r="BA19" s="134"/>
      <c r="BB19" s="134"/>
      <c r="BC19" s="134"/>
      <c r="BD19" s="134" t="s">
        <v>13</v>
      </c>
      <c r="BE19" s="134"/>
      <c r="BF19" s="134"/>
      <c r="BG19" s="134"/>
      <c r="BH19" s="134"/>
      <c r="BI19" s="134"/>
      <c r="BJ19" s="134"/>
      <c r="BK19" s="134"/>
      <c r="BL19" s="134"/>
      <c r="BM19" s="144" t="s">
        <v>13</v>
      </c>
      <c r="BN19" s="144"/>
      <c r="BO19" s="144"/>
      <c r="BP19" s="144"/>
      <c r="BQ19" s="144"/>
      <c r="BR19" s="144"/>
      <c r="BS19" s="144"/>
      <c r="BT19" s="144"/>
      <c r="BU19" s="144"/>
      <c r="BV19" s="144" t="s">
        <v>12</v>
      </c>
      <c r="BW19" s="144"/>
      <c r="BX19" s="144"/>
      <c r="BY19" s="144"/>
      <c r="BZ19" s="144"/>
      <c r="CA19" s="144"/>
      <c r="CB19" s="144"/>
      <c r="CC19" s="144"/>
      <c r="CD19" s="146"/>
    </row>
    <row r="20" spans="1:123" ht="6" customHeight="1" x14ac:dyDescent="0.35">
      <c r="A20" s="199"/>
      <c r="B20" s="200"/>
      <c r="C20" s="200"/>
      <c r="D20" s="200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307"/>
      <c r="AC20" s="307"/>
      <c r="AD20" s="307"/>
      <c r="AE20" s="307"/>
      <c r="AF20" s="307"/>
      <c r="AG20" s="307"/>
      <c r="AH20" s="170" t="s">
        <v>33</v>
      </c>
      <c r="AI20" s="171"/>
      <c r="AJ20" s="203"/>
      <c r="AK20" s="160"/>
      <c r="AL20" s="160"/>
      <c r="AM20" s="204"/>
      <c r="AN20" s="170" t="s">
        <v>25</v>
      </c>
      <c r="AO20" s="171"/>
      <c r="AP20" s="203"/>
      <c r="AQ20" s="160"/>
      <c r="AR20" s="160"/>
      <c r="AS20" s="161"/>
      <c r="AU20" s="135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7"/>
      <c r="CF20" s="246" t="s">
        <v>183</v>
      </c>
      <c r="CG20" s="246"/>
      <c r="CH20" s="246"/>
      <c r="CI20" s="246"/>
      <c r="CJ20" s="246"/>
      <c r="CK20" s="246"/>
      <c r="CL20" s="246"/>
      <c r="CM20" s="246"/>
      <c r="CN20" s="246"/>
      <c r="CO20" s="246"/>
      <c r="CP20" s="246"/>
      <c r="CQ20" s="246"/>
      <c r="CR20" s="246"/>
      <c r="CS20" s="246"/>
      <c r="CT20" s="246"/>
      <c r="CU20" s="246"/>
      <c r="CV20" s="246"/>
      <c r="CW20" s="246"/>
      <c r="CX20" s="246"/>
      <c r="CY20" s="246"/>
      <c r="CZ20" s="246"/>
      <c r="DA20" s="246"/>
      <c r="DB20" s="246"/>
      <c r="DC20" s="246"/>
      <c r="DD20" s="246"/>
      <c r="DE20" s="246"/>
      <c r="DF20" s="246"/>
      <c r="DG20" s="246"/>
      <c r="DH20" s="246"/>
      <c r="DI20" s="246"/>
      <c r="DJ20" s="246"/>
      <c r="DK20" s="246"/>
      <c r="DL20" s="246"/>
      <c r="DM20" s="246"/>
      <c r="DN20" s="246"/>
      <c r="DO20" s="247" t="s">
        <v>29</v>
      </c>
      <c r="DP20" s="247"/>
      <c r="DQ20" s="247"/>
      <c r="DR20" s="247"/>
      <c r="DS20" s="247"/>
    </row>
    <row r="21" spans="1:123" ht="6" customHeight="1" x14ac:dyDescent="0.35">
      <c r="A21" s="183" t="s">
        <v>62</v>
      </c>
      <c r="B21" s="184"/>
      <c r="C21" s="184"/>
      <c r="D21" s="185"/>
      <c r="E21" s="166" t="s">
        <v>213</v>
      </c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209"/>
      <c r="AH21" s="181"/>
      <c r="AI21" s="201"/>
      <c r="AJ21" s="192"/>
      <c r="AK21" s="162"/>
      <c r="AL21" s="162"/>
      <c r="AM21" s="193"/>
      <c r="AN21" s="181"/>
      <c r="AO21" s="201"/>
      <c r="AP21" s="192"/>
      <c r="AQ21" s="162"/>
      <c r="AR21" s="162"/>
      <c r="AS21" s="163"/>
      <c r="AU21" s="239" t="s">
        <v>14</v>
      </c>
      <c r="AV21" s="240"/>
      <c r="AW21" s="240"/>
      <c r="AX21" s="240"/>
      <c r="AY21" s="240"/>
      <c r="AZ21" s="240"/>
      <c r="BA21" s="240"/>
      <c r="BB21" s="240"/>
      <c r="BC21" s="240"/>
      <c r="BV21" s="148" t="s">
        <v>15</v>
      </c>
      <c r="BW21" s="149"/>
      <c r="BX21" s="149"/>
      <c r="BY21" s="149"/>
      <c r="BZ21" s="149"/>
      <c r="CA21" s="149"/>
      <c r="CB21" s="149"/>
      <c r="CC21" s="149"/>
      <c r="CD21" s="149"/>
      <c r="CF21" s="246"/>
      <c r="CG21" s="246"/>
      <c r="CH21" s="246"/>
      <c r="CI21" s="246"/>
      <c r="CJ21" s="246"/>
      <c r="CK21" s="246"/>
      <c r="CL21" s="246"/>
      <c r="CM21" s="246"/>
      <c r="CN21" s="246"/>
      <c r="CO21" s="246"/>
      <c r="CP21" s="246"/>
      <c r="CQ21" s="246"/>
      <c r="CR21" s="246"/>
      <c r="CS21" s="246"/>
      <c r="CT21" s="246"/>
      <c r="CU21" s="246"/>
      <c r="CV21" s="246"/>
      <c r="CW21" s="246"/>
      <c r="CX21" s="246"/>
      <c r="CY21" s="246"/>
      <c r="CZ21" s="246"/>
      <c r="DA21" s="246"/>
      <c r="DB21" s="246"/>
      <c r="DC21" s="246"/>
      <c r="DD21" s="246"/>
      <c r="DE21" s="246"/>
      <c r="DF21" s="246"/>
      <c r="DG21" s="246"/>
      <c r="DH21" s="246"/>
      <c r="DI21" s="246"/>
      <c r="DJ21" s="246"/>
      <c r="DK21" s="246"/>
      <c r="DL21" s="246"/>
      <c r="DM21" s="246"/>
      <c r="DN21" s="246"/>
      <c r="DO21" s="247"/>
      <c r="DP21" s="247"/>
      <c r="DQ21" s="247"/>
      <c r="DR21" s="247"/>
      <c r="DS21" s="247"/>
    </row>
    <row r="22" spans="1:123" ht="6" customHeight="1" x14ac:dyDescent="0.35">
      <c r="A22" s="183"/>
      <c r="B22" s="184"/>
      <c r="C22" s="184"/>
      <c r="D22" s="185"/>
      <c r="E22" s="173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210"/>
      <c r="AH22" s="182"/>
      <c r="AI22" s="202"/>
      <c r="AJ22" s="194"/>
      <c r="AK22" s="195"/>
      <c r="AL22" s="195"/>
      <c r="AM22" s="196"/>
      <c r="AN22" s="182"/>
      <c r="AO22" s="202"/>
      <c r="AP22" s="194"/>
      <c r="AQ22" s="195"/>
      <c r="AR22" s="195"/>
      <c r="AS22" s="198"/>
      <c r="AU22" s="240"/>
      <c r="AV22" s="240"/>
      <c r="AW22" s="240"/>
      <c r="AX22" s="240"/>
      <c r="AY22" s="240"/>
      <c r="AZ22" s="240"/>
      <c r="BA22" s="240"/>
      <c r="BB22" s="240"/>
      <c r="BC22" s="240"/>
      <c r="BD22" s="102" t="s">
        <v>11</v>
      </c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4" t="s">
        <v>27</v>
      </c>
      <c r="BQ22" s="105"/>
      <c r="BR22" s="241">
        <f>2*(ROUNDUP(MAX(AU7,BW7),0)+1)</f>
        <v>12</v>
      </c>
      <c r="BS22" s="242"/>
      <c r="BT22" s="242"/>
      <c r="BU22" s="243"/>
      <c r="BV22" s="149"/>
      <c r="BW22" s="149"/>
      <c r="BX22" s="149"/>
      <c r="BY22" s="149"/>
      <c r="BZ22" s="149"/>
      <c r="CA22" s="149"/>
      <c r="CB22" s="149"/>
      <c r="CC22" s="149"/>
      <c r="CD22" s="149"/>
      <c r="CF22" s="152" t="s">
        <v>185</v>
      </c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  <c r="CT22" s="153"/>
      <c r="CU22" s="153"/>
      <c r="CV22" s="153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4"/>
      <c r="DO22" s="152">
        <v>15</v>
      </c>
      <c r="DP22" s="153"/>
      <c r="DQ22" s="153"/>
      <c r="DR22" s="153"/>
      <c r="DS22" s="154"/>
    </row>
    <row r="23" spans="1:123" ht="6" customHeight="1" x14ac:dyDescent="0.35">
      <c r="A23" s="183"/>
      <c r="B23" s="184"/>
      <c r="C23" s="184"/>
      <c r="D23" s="185"/>
      <c r="E23" s="166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75" t="s">
        <v>26</v>
      </c>
      <c r="AN23" s="176"/>
      <c r="AO23" s="170"/>
      <c r="AP23" s="160">
        <f>AL17-AJ20</f>
        <v>3</v>
      </c>
      <c r="AQ23" s="160"/>
      <c r="AR23" s="160"/>
      <c r="AS23" s="161"/>
      <c r="AU23" s="240"/>
      <c r="AV23" s="240"/>
      <c r="AW23" s="240"/>
      <c r="AX23" s="240"/>
      <c r="AY23" s="240"/>
      <c r="AZ23" s="240"/>
      <c r="BA23" s="240"/>
      <c r="BB23" s="240"/>
      <c r="BC23" s="240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4"/>
      <c r="BQ23" s="105"/>
      <c r="BR23" s="244"/>
      <c r="BS23" s="110"/>
      <c r="BT23" s="110"/>
      <c r="BU23" s="245"/>
      <c r="BV23" s="149"/>
      <c r="BW23" s="149"/>
      <c r="BX23" s="149"/>
      <c r="BY23" s="149"/>
      <c r="BZ23" s="149"/>
      <c r="CA23" s="149"/>
      <c r="CB23" s="149"/>
      <c r="CC23" s="149"/>
      <c r="CD23" s="149"/>
      <c r="CF23" s="155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/>
      <c r="DD23" s="156"/>
      <c r="DE23" s="156"/>
      <c r="DF23" s="156"/>
      <c r="DG23" s="156"/>
      <c r="DH23" s="156"/>
      <c r="DI23" s="156"/>
      <c r="DJ23" s="156"/>
      <c r="DK23" s="156"/>
      <c r="DL23" s="156"/>
      <c r="DM23" s="156"/>
      <c r="DN23" s="157"/>
      <c r="DO23" s="155"/>
      <c r="DP23" s="156"/>
      <c r="DQ23" s="156"/>
      <c r="DR23" s="156"/>
      <c r="DS23" s="157"/>
    </row>
    <row r="24" spans="1:123" ht="6" customHeight="1" x14ac:dyDescent="0.35">
      <c r="A24" s="183"/>
      <c r="B24" s="184"/>
      <c r="C24" s="184"/>
      <c r="D24" s="185"/>
      <c r="E24" s="173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7"/>
      <c r="AN24" s="178"/>
      <c r="AO24" s="181"/>
      <c r="AP24" s="162"/>
      <c r="AQ24" s="162"/>
      <c r="AR24" s="162"/>
      <c r="AS24" s="163"/>
      <c r="AU24" s="240"/>
      <c r="AV24" s="240"/>
      <c r="AW24" s="240"/>
      <c r="AX24" s="240"/>
      <c r="AY24" s="240"/>
      <c r="AZ24" s="240"/>
      <c r="BA24" s="240"/>
      <c r="BB24" s="240"/>
      <c r="BC24" s="240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  <c r="BP24" s="105"/>
      <c r="BQ24" s="105"/>
      <c r="BR24" s="244"/>
      <c r="BS24" s="110"/>
      <c r="BT24" s="110"/>
      <c r="BU24" s="245"/>
      <c r="BV24" s="149"/>
      <c r="BW24" s="149"/>
      <c r="BX24" s="149"/>
      <c r="BY24" s="149"/>
      <c r="BZ24" s="149"/>
      <c r="CA24" s="149"/>
      <c r="CB24" s="149"/>
      <c r="CC24" s="149"/>
      <c r="CD24" s="149"/>
      <c r="CF24" s="152" t="s">
        <v>187</v>
      </c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53"/>
      <c r="CS24" s="153"/>
      <c r="CT24" s="153"/>
      <c r="CU24" s="153"/>
      <c r="CV24" s="153"/>
      <c r="CW24" s="153"/>
      <c r="CX24" s="153"/>
      <c r="CY24" s="153"/>
      <c r="CZ24" s="153"/>
      <c r="DA24" s="153"/>
      <c r="DB24" s="153"/>
      <c r="DC24" s="153"/>
      <c r="DD24" s="153"/>
      <c r="DE24" s="153"/>
      <c r="DF24" s="153"/>
      <c r="DG24" s="153"/>
      <c r="DH24" s="153"/>
      <c r="DI24" s="153"/>
      <c r="DJ24" s="153"/>
      <c r="DK24" s="153"/>
      <c r="DL24" s="153"/>
      <c r="DM24" s="153"/>
      <c r="DN24" s="154"/>
      <c r="DO24" s="152">
        <v>32</v>
      </c>
      <c r="DP24" s="153"/>
      <c r="DQ24" s="153"/>
      <c r="DR24" s="153"/>
      <c r="DS24" s="154"/>
    </row>
    <row r="25" spans="1:123" ht="6" customHeight="1" x14ac:dyDescent="0.35">
      <c r="A25" s="183"/>
      <c r="B25" s="184"/>
      <c r="C25" s="184"/>
      <c r="D25" s="185"/>
      <c r="E25" s="166" t="s">
        <v>186</v>
      </c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79"/>
      <c r="AN25" s="180"/>
      <c r="AO25" s="182"/>
      <c r="AP25" s="162"/>
      <c r="AQ25" s="162"/>
      <c r="AR25" s="162"/>
      <c r="AS25" s="163"/>
      <c r="AU25" s="240"/>
      <c r="AV25" s="240"/>
      <c r="AW25" s="240"/>
      <c r="AX25" s="240"/>
      <c r="AY25" s="240"/>
      <c r="AZ25" s="240"/>
      <c r="BA25" s="240"/>
      <c r="BB25" s="240"/>
      <c r="BC25" s="240"/>
      <c r="BD25" s="241"/>
      <c r="BE25" s="242"/>
      <c r="BF25" s="242"/>
      <c r="BG25" s="242"/>
      <c r="BH25" s="242"/>
      <c r="BI25" s="242"/>
      <c r="BJ25" s="242"/>
      <c r="BK25" s="242"/>
      <c r="BL25" s="243"/>
      <c r="BM25" s="241"/>
      <c r="BN25" s="242"/>
      <c r="BO25" s="242"/>
      <c r="BP25" s="242"/>
      <c r="BQ25" s="242"/>
      <c r="BR25" s="242"/>
      <c r="BS25" s="242"/>
      <c r="BT25" s="242"/>
      <c r="BU25" s="243"/>
      <c r="BV25" s="149"/>
      <c r="BW25" s="149"/>
      <c r="BX25" s="149"/>
      <c r="BY25" s="149"/>
      <c r="BZ25" s="149"/>
      <c r="CA25" s="149"/>
      <c r="CB25" s="149"/>
      <c r="CC25" s="149"/>
      <c r="CD25" s="149"/>
      <c r="CF25" s="155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/>
      <c r="DD25" s="156"/>
      <c r="DE25" s="156"/>
      <c r="DF25" s="156"/>
      <c r="DG25" s="156"/>
      <c r="DH25" s="156"/>
      <c r="DI25" s="156"/>
      <c r="DJ25" s="156"/>
      <c r="DK25" s="156"/>
      <c r="DL25" s="156"/>
      <c r="DM25" s="156"/>
      <c r="DN25" s="157"/>
      <c r="DO25" s="155"/>
      <c r="DP25" s="156"/>
      <c r="DQ25" s="156"/>
      <c r="DR25" s="156"/>
      <c r="DS25" s="157"/>
    </row>
    <row r="26" spans="1:123" ht="6" customHeight="1" x14ac:dyDescent="0.35">
      <c r="A26" s="186"/>
      <c r="B26" s="187"/>
      <c r="C26" s="187"/>
      <c r="D26" s="188"/>
      <c r="E26" s="168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70"/>
      <c r="AN26" s="171"/>
      <c r="AO26" s="9"/>
      <c r="AP26" s="164"/>
      <c r="AQ26" s="164"/>
      <c r="AR26" s="164"/>
      <c r="AS26" s="165"/>
      <c r="AU26" s="240"/>
      <c r="AV26" s="240"/>
      <c r="AW26" s="240"/>
      <c r="AX26" s="240"/>
      <c r="AY26" s="240"/>
      <c r="AZ26" s="240"/>
      <c r="BA26" s="240"/>
      <c r="BB26" s="240"/>
      <c r="BC26" s="240"/>
      <c r="BD26" s="244"/>
      <c r="BE26" s="110"/>
      <c r="BF26" s="110"/>
      <c r="BG26" s="110"/>
      <c r="BH26" s="110"/>
      <c r="BI26" s="110"/>
      <c r="BJ26" s="110"/>
      <c r="BK26" s="110"/>
      <c r="BL26" s="245"/>
      <c r="BM26" s="244"/>
      <c r="BN26" s="110"/>
      <c r="BO26" s="110"/>
      <c r="BP26" s="110"/>
      <c r="BQ26" s="110"/>
      <c r="BR26" s="110"/>
      <c r="BS26" s="110"/>
      <c r="BT26" s="110"/>
      <c r="BU26" s="245"/>
      <c r="BV26" s="149"/>
      <c r="BW26" s="149"/>
      <c r="BX26" s="149"/>
      <c r="BY26" s="149"/>
      <c r="BZ26" s="149"/>
      <c r="CA26" s="149"/>
      <c r="CB26" s="149"/>
      <c r="CC26" s="149"/>
      <c r="CD26" s="149"/>
      <c r="CF26" s="152" t="s">
        <v>188</v>
      </c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53"/>
      <c r="CS26" s="153"/>
      <c r="CT26" s="153"/>
      <c r="CU26" s="153"/>
      <c r="CV26" s="153"/>
      <c r="CW26" s="153"/>
      <c r="CX26" s="153"/>
      <c r="CY26" s="153"/>
      <c r="CZ26" s="153"/>
      <c r="DA26" s="153"/>
      <c r="DB26" s="153"/>
      <c r="DC26" s="153"/>
      <c r="DD26" s="153"/>
      <c r="DE26" s="153"/>
      <c r="DF26" s="153"/>
      <c r="DG26" s="153"/>
      <c r="DH26" s="153"/>
      <c r="DI26" s="153"/>
      <c r="DJ26" s="153"/>
      <c r="DK26" s="153"/>
      <c r="DL26" s="153"/>
      <c r="DM26" s="153"/>
      <c r="DN26" s="154"/>
      <c r="DO26" s="152">
        <v>14</v>
      </c>
      <c r="DP26" s="153"/>
      <c r="DQ26" s="153"/>
      <c r="DR26" s="153"/>
      <c r="DS26" s="154"/>
    </row>
    <row r="27" spans="1:123" ht="6" customHeight="1" x14ac:dyDescent="0.35">
      <c r="A27" s="213" t="s">
        <v>21</v>
      </c>
      <c r="B27" s="214"/>
      <c r="C27" s="214"/>
      <c r="D27" s="214"/>
      <c r="E27" s="205" t="s">
        <v>207</v>
      </c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6" t="str">
        <f>_xlfn.XLOOKUP(E29,'Skill Calcs'!$F$2:$F$15,'Skill Calcs'!$G$2:$G$15,"",0,1)</f>
        <v>Mind</v>
      </c>
      <c r="AC27" s="190"/>
      <c r="AD27" s="190"/>
      <c r="AE27" s="190"/>
      <c r="AF27" s="190"/>
      <c r="AG27" s="197"/>
      <c r="AH27" s="189">
        <v>6</v>
      </c>
      <c r="AI27" s="190"/>
      <c r="AJ27" s="190"/>
      <c r="AK27" s="191"/>
      <c r="AL27" s="189">
        <f>IF(_CTR_3&gt;0,_CTR_3,"")</f>
        <v>3</v>
      </c>
      <c r="AM27" s="190"/>
      <c r="AN27" s="190"/>
      <c r="AO27" s="191"/>
      <c r="AP27" s="189">
        <v>8</v>
      </c>
      <c r="AQ27" s="190"/>
      <c r="AR27" s="190"/>
      <c r="AS27" s="197"/>
      <c r="AU27" s="314" t="s">
        <v>15</v>
      </c>
      <c r="AV27" s="315"/>
      <c r="AW27" s="315"/>
      <c r="AX27" s="315"/>
      <c r="AY27" s="315"/>
      <c r="AZ27" s="315"/>
      <c r="BA27" s="315"/>
      <c r="BB27" s="315"/>
      <c r="BC27" s="315"/>
      <c r="BD27" s="244"/>
      <c r="BE27" s="110"/>
      <c r="BF27" s="110"/>
      <c r="BG27" s="110"/>
      <c r="BH27" s="110"/>
      <c r="BI27" s="110"/>
      <c r="BJ27" s="110"/>
      <c r="BK27" s="110"/>
      <c r="BL27" s="245"/>
      <c r="BM27" s="244"/>
      <c r="BN27" s="110"/>
      <c r="BO27" s="110"/>
      <c r="BP27" s="110"/>
      <c r="BQ27" s="110"/>
      <c r="BR27" s="110"/>
      <c r="BS27" s="110"/>
      <c r="BT27" s="110"/>
      <c r="BU27" s="245"/>
      <c r="BV27" s="148" t="s">
        <v>14</v>
      </c>
      <c r="BW27" s="149"/>
      <c r="BX27" s="149"/>
      <c r="BY27" s="149"/>
      <c r="BZ27" s="149"/>
      <c r="CA27" s="149"/>
      <c r="CB27" s="149"/>
      <c r="CC27" s="149"/>
      <c r="CD27" s="149"/>
      <c r="CF27" s="155"/>
      <c r="CG27" s="156"/>
      <c r="CH27" s="156"/>
      <c r="CI27" s="156"/>
      <c r="CJ27" s="156"/>
      <c r="CK27" s="156"/>
      <c r="CL27" s="156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B27" s="156"/>
      <c r="DC27" s="156"/>
      <c r="DD27" s="156"/>
      <c r="DE27" s="156"/>
      <c r="DF27" s="156"/>
      <c r="DG27" s="156"/>
      <c r="DH27" s="156"/>
      <c r="DI27" s="156"/>
      <c r="DJ27" s="156"/>
      <c r="DK27" s="156"/>
      <c r="DL27" s="156"/>
      <c r="DM27" s="156"/>
      <c r="DN27" s="157"/>
      <c r="DO27" s="155"/>
      <c r="DP27" s="156"/>
      <c r="DQ27" s="156"/>
      <c r="DR27" s="156"/>
      <c r="DS27" s="157"/>
    </row>
    <row r="28" spans="1:123" ht="6" customHeight="1" x14ac:dyDescent="0.35">
      <c r="A28" s="199"/>
      <c r="B28" s="200"/>
      <c r="C28" s="200"/>
      <c r="D28" s="200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7"/>
      <c r="AC28" s="162"/>
      <c r="AD28" s="162"/>
      <c r="AE28" s="162"/>
      <c r="AF28" s="162"/>
      <c r="AG28" s="163"/>
      <c r="AH28" s="192"/>
      <c r="AI28" s="162"/>
      <c r="AJ28" s="162"/>
      <c r="AK28" s="193"/>
      <c r="AL28" s="192"/>
      <c r="AM28" s="162"/>
      <c r="AN28" s="162"/>
      <c r="AO28" s="193"/>
      <c r="AP28" s="192"/>
      <c r="AQ28" s="162"/>
      <c r="AR28" s="162"/>
      <c r="AS28" s="163"/>
      <c r="AU28" s="315"/>
      <c r="AV28" s="315"/>
      <c r="AW28" s="315"/>
      <c r="AX28" s="315"/>
      <c r="AY28" s="315"/>
      <c r="AZ28" s="315"/>
      <c r="BA28" s="315"/>
      <c r="BB28" s="315"/>
      <c r="BC28" s="315"/>
      <c r="BD28" s="244"/>
      <c r="BE28" s="110"/>
      <c r="BF28" s="110"/>
      <c r="BG28" s="110"/>
      <c r="BH28" s="110"/>
      <c r="BI28" s="110"/>
      <c r="BJ28" s="110"/>
      <c r="BK28" s="110"/>
      <c r="BL28" s="245"/>
      <c r="BM28" s="244"/>
      <c r="BN28" s="110"/>
      <c r="BO28" s="110"/>
      <c r="BP28" s="110"/>
      <c r="BQ28" s="110"/>
      <c r="BR28" s="110"/>
      <c r="BS28" s="110"/>
      <c r="BT28" s="110"/>
      <c r="BU28" s="245"/>
      <c r="BV28" s="149"/>
      <c r="BW28" s="149"/>
      <c r="BX28" s="149"/>
      <c r="BY28" s="149"/>
      <c r="BZ28" s="149"/>
      <c r="CA28" s="149"/>
      <c r="CB28" s="149"/>
      <c r="CC28" s="149"/>
      <c r="CD28" s="149"/>
      <c r="CF28" s="152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53"/>
      <c r="CT28" s="153"/>
      <c r="CU28" s="153"/>
      <c r="CV28" s="153"/>
      <c r="CW28" s="153"/>
      <c r="CX28" s="153"/>
      <c r="CY28" s="153"/>
      <c r="CZ28" s="153"/>
      <c r="DA28" s="153"/>
      <c r="DB28" s="153"/>
      <c r="DC28" s="153"/>
      <c r="DD28" s="153"/>
      <c r="DE28" s="153"/>
      <c r="DF28" s="153"/>
      <c r="DG28" s="153"/>
      <c r="DH28" s="153"/>
      <c r="DI28" s="153"/>
      <c r="DJ28" s="153"/>
      <c r="DK28" s="153"/>
      <c r="DL28" s="153"/>
      <c r="DM28" s="153"/>
      <c r="DN28" s="154"/>
      <c r="DO28" s="152"/>
      <c r="DP28" s="153"/>
      <c r="DQ28" s="153"/>
      <c r="DR28" s="153"/>
      <c r="DS28" s="154"/>
    </row>
    <row r="29" spans="1:123" ht="6" customHeight="1" x14ac:dyDescent="0.35">
      <c r="A29" s="199" t="s">
        <v>23</v>
      </c>
      <c r="B29" s="200"/>
      <c r="C29" s="200"/>
      <c r="D29" s="200"/>
      <c r="E29" s="205" t="s">
        <v>49</v>
      </c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7"/>
      <c r="AC29" s="162"/>
      <c r="AD29" s="162"/>
      <c r="AE29" s="162"/>
      <c r="AF29" s="162"/>
      <c r="AG29" s="163"/>
      <c r="AH29" s="194"/>
      <c r="AI29" s="195"/>
      <c r="AJ29" s="195"/>
      <c r="AK29" s="196"/>
      <c r="AL29" s="194"/>
      <c r="AM29" s="195"/>
      <c r="AN29" s="195"/>
      <c r="AO29" s="196"/>
      <c r="AP29" s="194"/>
      <c r="AQ29" s="195"/>
      <c r="AR29" s="195"/>
      <c r="AS29" s="198"/>
      <c r="AU29" s="315"/>
      <c r="AV29" s="315"/>
      <c r="AW29" s="315"/>
      <c r="AX29" s="315"/>
      <c r="AY29" s="315"/>
      <c r="AZ29" s="315"/>
      <c r="BA29" s="315"/>
      <c r="BB29" s="315"/>
      <c r="BC29" s="315"/>
      <c r="BD29" s="248"/>
      <c r="BE29" s="249"/>
      <c r="BF29" s="249"/>
      <c r="BG29" s="249"/>
      <c r="BH29" s="249"/>
      <c r="BI29" s="249"/>
      <c r="BJ29" s="249"/>
      <c r="BK29" s="249"/>
      <c r="BL29" s="250"/>
      <c r="BM29" s="248"/>
      <c r="BN29" s="249"/>
      <c r="BO29" s="249"/>
      <c r="BP29" s="249"/>
      <c r="BQ29" s="249"/>
      <c r="BR29" s="249"/>
      <c r="BS29" s="249"/>
      <c r="BT29" s="249"/>
      <c r="BU29" s="250"/>
      <c r="BV29" s="149"/>
      <c r="BW29" s="149"/>
      <c r="BX29" s="149"/>
      <c r="BY29" s="149"/>
      <c r="BZ29" s="149"/>
      <c r="CA29" s="149"/>
      <c r="CB29" s="149"/>
      <c r="CC29" s="149"/>
      <c r="CD29" s="149"/>
      <c r="CF29" s="155"/>
      <c r="CG29" s="156"/>
      <c r="CH29" s="156"/>
      <c r="CI29" s="156"/>
      <c r="CJ29" s="156"/>
      <c r="CK29" s="156"/>
      <c r="CL29" s="156"/>
      <c r="CM29" s="156"/>
      <c r="CN29" s="156"/>
      <c r="CO29" s="156"/>
      <c r="CP29" s="156"/>
      <c r="CQ29" s="156"/>
      <c r="CR29" s="156"/>
      <c r="CS29" s="156"/>
      <c r="CT29" s="156"/>
      <c r="CU29" s="156"/>
      <c r="CV29" s="156"/>
      <c r="CW29" s="156"/>
      <c r="CX29" s="156"/>
      <c r="CY29" s="156"/>
      <c r="CZ29" s="156"/>
      <c r="DA29" s="156"/>
      <c r="DB29" s="156"/>
      <c r="DC29" s="156"/>
      <c r="DD29" s="156"/>
      <c r="DE29" s="156"/>
      <c r="DF29" s="156"/>
      <c r="DG29" s="156"/>
      <c r="DH29" s="156"/>
      <c r="DI29" s="156"/>
      <c r="DJ29" s="156"/>
      <c r="DK29" s="156"/>
      <c r="DL29" s="156"/>
      <c r="DM29" s="156"/>
      <c r="DN29" s="157"/>
      <c r="DO29" s="155"/>
      <c r="DP29" s="156"/>
      <c r="DQ29" s="156"/>
      <c r="DR29" s="156"/>
      <c r="DS29" s="157"/>
    </row>
    <row r="30" spans="1:123" ht="6" customHeight="1" x14ac:dyDescent="0.35">
      <c r="A30" s="199"/>
      <c r="B30" s="200"/>
      <c r="C30" s="200"/>
      <c r="D30" s="200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8"/>
      <c r="AC30" s="164"/>
      <c r="AD30" s="164"/>
      <c r="AE30" s="164"/>
      <c r="AF30" s="164"/>
      <c r="AG30" s="165"/>
      <c r="AH30" s="170" t="s">
        <v>33</v>
      </c>
      <c r="AI30" s="171"/>
      <c r="AJ30" s="203">
        <v>1</v>
      </c>
      <c r="AK30" s="160"/>
      <c r="AL30" s="160"/>
      <c r="AM30" s="204"/>
      <c r="AN30" s="170" t="s">
        <v>25</v>
      </c>
      <c r="AO30" s="171"/>
      <c r="AP30" s="203" t="s">
        <v>117</v>
      </c>
      <c r="AQ30" s="160"/>
      <c r="AR30" s="160"/>
      <c r="AS30" s="161"/>
      <c r="AU30" s="315"/>
      <c r="AV30" s="315"/>
      <c r="AW30" s="315"/>
      <c r="AX30" s="315"/>
      <c r="AY30" s="315"/>
      <c r="AZ30" s="315"/>
      <c r="BA30" s="315"/>
      <c r="BB30" s="315"/>
      <c r="BC30" s="315"/>
      <c r="BD30" s="308" t="s">
        <v>12</v>
      </c>
      <c r="BE30" s="309"/>
      <c r="BF30" s="309"/>
      <c r="BG30" s="309"/>
      <c r="BH30" s="309"/>
      <c r="BI30" s="309"/>
      <c r="BJ30" s="309"/>
      <c r="BK30" s="309"/>
      <c r="BL30" s="310"/>
      <c r="BM30" s="308" t="s">
        <v>13</v>
      </c>
      <c r="BN30" s="309"/>
      <c r="BO30" s="309"/>
      <c r="BP30" s="309"/>
      <c r="BQ30" s="309"/>
      <c r="BR30" s="309"/>
      <c r="BS30" s="309"/>
      <c r="BT30" s="309"/>
      <c r="BU30" s="310"/>
      <c r="BV30" s="149"/>
      <c r="BW30" s="149"/>
      <c r="BX30" s="149"/>
      <c r="BY30" s="149"/>
      <c r="BZ30" s="149"/>
      <c r="CA30" s="149"/>
      <c r="CB30" s="149"/>
      <c r="CC30" s="149"/>
      <c r="CD30" s="149"/>
      <c r="CF30" s="152"/>
      <c r="CG30" s="153"/>
      <c r="CH30" s="153"/>
      <c r="CI30" s="153"/>
      <c r="CJ30" s="153"/>
      <c r="CK30" s="153"/>
      <c r="CL30" s="153"/>
      <c r="CM30" s="153"/>
      <c r="CN30" s="153"/>
      <c r="CO30" s="153"/>
      <c r="CP30" s="153"/>
      <c r="CQ30" s="153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3"/>
      <c r="DH30" s="153"/>
      <c r="DI30" s="153"/>
      <c r="DJ30" s="153"/>
      <c r="DK30" s="153"/>
      <c r="DL30" s="153"/>
      <c r="DM30" s="153"/>
      <c r="DN30" s="154"/>
      <c r="DO30" s="152"/>
      <c r="DP30" s="153"/>
      <c r="DQ30" s="153"/>
      <c r="DR30" s="153"/>
      <c r="DS30" s="154"/>
    </row>
    <row r="31" spans="1:123" ht="6" customHeight="1" x14ac:dyDescent="0.35">
      <c r="A31" s="183" t="s">
        <v>62</v>
      </c>
      <c r="B31" s="184"/>
      <c r="C31" s="184"/>
      <c r="D31" s="185"/>
      <c r="E31" s="166" t="s">
        <v>206</v>
      </c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209"/>
      <c r="AH31" s="181"/>
      <c r="AI31" s="201"/>
      <c r="AJ31" s="192"/>
      <c r="AK31" s="162"/>
      <c r="AL31" s="162"/>
      <c r="AM31" s="193"/>
      <c r="AN31" s="181"/>
      <c r="AO31" s="201"/>
      <c r="AP31" s="192"/>
      <c r="AQ31" s="162"/>
      <c r="AR31" s="162"/>
      <c r="AS31" s="163"/>
      <c r="AU31" s="315"/>
      <c r="AV31" s="315"/>
      <c r="AW31" s="315"/>
      <c r="AX31" s="315"/>
      <c r="AY31" s="315"/>
      <c r="AZ31" s="315"/>
      <c r="BA31" s="315"/>
      <c r="BB31" s="315"/>
      <c r="BC31" s="315"/>
      <c r="BD31" s="311"/>
      <c r="BE31" s="312"/>
      <c r="BF31" s="312"/>
      <c r="BG31" s="312"/>
      <c r="BH31" s="312"/>
      <c r="BI31" s="312"/>
      <c r="BJ31" s="312"/>
      <c r="BK31" s="312"/>
      <c r="BL31" s="313"/>
      <c r="BM31" s="311"/>
      <c r="BN31" s="312"/>
      <c r="BO31" s="312"/>
      <c r="BP31" s="312"/>
      <c r="BQ31" s="312"/>
      <c r="BR31" s="312"/>
      <c r="BS31" s="312"/>
      <c r="BT31" s="312"/>
      <c r="BU31" s="313"/>
      <c r="BV31" s="149"/>
      <c r="BW31" s="149"/>
      <c r="BX31" s="149"/>
      <c r="BY31" s="149"/>
      <c r="BZ31" s="149"/>
      <c r="CA31" s="149"/>
      <c r="CB31" s="149"/>
      <c r="CC31" s="149"/>
      <c r="CD31" s="149"/>
      <c r="CF31" s="155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B31" s="156"/>
      <c r="DC31" s="156"/>
      <c r="DD31" s="156"/>
      <c r="DE31" s="156"/>
      <c r="DF31" s="156"/>
      <c r="DG31" s="156"/>
      <c r="DH31" s="156"/>
      <c r="DI31" s="156"/>
      <c r="DJ31" s="156"/>
      <c r="DK31" s="156"/>
      <c r="DL31" s="156"/>
      <c r="DM31" s="156"/>
      <c r="DN31" s="157"/>
      <c r="DO31" s="155"/>
      <c r="DP31" s="156"/>
      <c r="DQ31" s="156"/>
      <c r="DR31" s="156"/>
      <c r="DS31" s="157"/>
    </row>
    <row r="32" spans="1:123" ht="6" customHeight="1" x14ac:dyDescent="0.35">
      <c r="A32" s="183"/>
      <c r="B32" s="184"/>
      <c r="C32" s="184"/>
      <c r="D32" s="185"/>
      <c r="E32" s="173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210"/>
      <c r="AH32" s="182"/>
      <c r="AI32" s="202"/>
      <c r="AJ32" s="194"/>
      <c r="AK32" s="195"/>
      <c r="AL32" s="195"/>
      <c r="AM32" s="196"/>
      <c r="AN32" s="182"/>
      <c r="AO32" s="202"/>
      <c r="AP32" s="194"/>
      <c r="AQ32" s="195"/>
      <c r="AR32" s="195"/>
      <c r="AS32" s="198"/>
      <c r="AU32" s="315"/>
      <c r="AV32" s="315"/>
      <c r="AW32" s="315"/>
      <c r="AX32" s="315"/>
      <c r="AY32" s="315"/>
      <c r="AZ32" s="315"/>
      <c r="BA32" s="315"/>
      <c r="BB32" s="315"/>
      <c r="BC32" s="315"/>
      <c r="BV32" s="149"/>
      <c r="BW32" s="149"/>
      <c r="BX32" s="149"/>
      <c r="BY32" s="149"/>
      <c r="BZ32" s="149"/>
      <c r="CA32" s="149"/>
      <c r="CB32" s="149"/>
      <c r="CC32" s="149"/>
      <c r="CD32" s="149"/>
      <c r="CF32" s="152"/>
      <c r="CG32" s="153"/>
      <c r="CH32" s="153"/>
      <c r="CI32" s="153"/>
      <c r="CJ32" s="153"/>
      <c r="CK32" s="153"/>
      <c r="CL32" s="153"/>
      <c r="CM32" s="153"/>
      <c r="CN32" s="153"/>
      <c r="CO32" s="153"/>
      <c r="CP32" s="153"/>
      <c r="CQ32" s="153"/>
      <c r="CR32" s="153"/>
      <c r="CS32" s="153"/>
      <c r="CT32" s="153"/>
      <c r="CU32" s="153"/>
      <c r="CV32" s="153"/>
      <c r="CW32" s="153"/>
      <c r="CX32" s="153"/>
      <c r="CY32" s="153"/>
      <c r="CZ32" s="153"/>
      <c r="DA32" s="153"/>
      <c r="DB32" s="153"/>
      <c r="DC32" s="153"/>
      <c r="DD32" s="153"/>
      <c r="DE32" s="153"/>
      <c r="DF32" s="153"/>
      <c r="DG32" s="153"/>
      <c r="DH32" s="153"/>
      <c r="DI32" s="153"/>
      <c r="DJ32" s="153"/>
      <c r="DK32" s="153"/>
      <c r="DL32" s="153"/>
      <c r="DM32" s="153"/>
      <c r="DN32" s="154"/>
      <c r="DO32" s="152"/>
      <c r="DP32" s="153"/>
      <c r="DQ32" s="153"/>
      <c r="DR32" s="153"/>
      <c r="DS32" s="154"/>
    </row>
    <row r="33" spans="1:123" ht="6" customHeight="1" x14ac:dyDescent="0.35">
      <c r="A33" s="183"/>
      <c r="B33" s="184"/>
      <c r="C33" s="184"/>
      <c r="D33" s="185"/>
      <c r="E33" s="166" t="s">
        <v>186</v>
      </c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75" t="s">
        <v>26</v>
      </c>
      <c r="AN33" s="176"/>
      <c r="AO33" s="170"/>
      <c r="AP33" s="160">
        <f>AL27-AJ30</f>
        <v>2</v>
      </c>
      <c r="AQ33" s="160"/>
      <c r="AR33" s="160"/>
      <c r="AS33" s="161"/>
      <c r="AU33" s="221" t="s">
        <v>16</v>
      </c>
      <c r="AV33" s="221"/>
      <c r="AW33" s="221"/>
      <c r="AX33" s="221"/>
      <c r="AY33" s="221"/>
      <c r="AZ33" s="221"/>
      <c r="BA33" s="221"/>
      <c r="BB33" s="221"/>
      <c r="BC33" s="221"/>
      <c r="BD33" s="221"/>
      <c r="BE33" s="221"/>
      <c r="BF33" s="221"/>
      <c r="BG33" s="223" t="s">
        <v>27</v>
      </c>
      <c r="BH33" s="224"/>
      <c r="BI33" s="127">
        <f>AU7+3</f>
        <v>8</v>
      </c>
      <c r="BJ33" s="128"/>
      <c r="BK33" s="128"/>
      <c r="BL33" s="128"/>
      <c r="BM33" s="227" t="s">
        <v>17</v>
      </c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33" t="s">
        <v>27</v>
      </c>
      <c r="BZ33" s="234"/>
      <c r="CA33" s="142">
        <f>BW7+3</f>
        <v>6</v>
      </c>
      <c r="CB33" s="142"/>
      <c r="CC33" s="142"/>
      <c r="CD33" s="143"/>
      <c r="CF33" s="155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6"/>
      <c r="CY33" s="156"/>
      <c r="CZ33" s="156"/>
      <c r="DA33" s="156"/>
      <c r="DB33" s="156"/>
      <c r="DC33" s="156"/>
      <c r="DD33" s="156"/>
      <c r="DE33" s="156"/>
      <c r="DF33" s="156"/>
      <c r="DG33" s="156"/>
      <c r="DH33" s="156"/>
      <c r="DI33" s="156"/>
      <c r="DJ33" s="156"/>
      <c r="DK33" s="156"/>
      <c r="DL33" s="156"/>
      <c r="DM33" s="156"/>
      <c r="DN33" s="157"/>
      <c r="DO33" s="155"/>
      <c r="DP33" s="156"/>
      <c r="DQ33" s="156"/>
      <c r="DR33" s="156"/>
      <c r="DS33" s="157"/>
    </row>
    <row r="34" spans="1:123" ht="6" customHeight="1" x14ac:dyDescent="0.35">
      <c r="A34" s="183"/>
      <c r="B34" s="184"/>
      <c r="C34" s="184"/>
      <c r="D34" s="185"/>
      <c r="E34" s="173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7"/>
      <c r="AN34" s="178"/>
      <c r="AO34" s="181"/>
      <c r="AP34" s="162"/>
      <c r="AQ34" s="162"/>
      <c r="AR34" s="162"/>
      <c r="AS34" s="163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3"/>
      <c r="BH34" s="224"/>
      <c r="BI34" s="109"/>
      <c r="BJ34" s="110"/>
      <c r="BK34" s="110"/>
      <c r="BL34" s="110"/>
      <c r="BM34" s="229"/>
      <c r="BN34" s="230"/>
      <c r="BO34" s="230"/>
      <c r="BP34" s="230"/>
      <c r="BQ34" s="230"/>
      <c r="BR34" s="230"/>
      <c r="BS34" s="230"/>
      <c r="BT34" s="230"/>
      <c r="BU34" s="230"/>
      <c r="BV34" s="230"/>
      <c r="BW34" s="230"/>
      <c r="BX34" s="230"/>
      <c r="BY34" s="235"/>
      <c r="BZ34" s="236"/>
      <c r="CA34" s="110"/>
      <c r="CB34" s="110"/>
      <c r="CC34" s="110"/>
      <c r="CD34" s="138"/>
      <c r="CF34" s="152"/>
      <c r="CG34" s="153"/>
      <c r="CH34" s="153"/>
      <c r="CI34" s="153"/>
      <c r="CJ34" s="153"/>
      <c r="CK34" s="153"/>
      <c r="CL34" s="153"/>
      <c r="CM34" s="153"/>
      <c r="CN34" s="153"/>
      <c r="CO34" s="153"/>
      <c r="CP34" s="153"/>
      <c r="CQ34" s="153"/>
      <c r="CR34" s="153"/>
      <c r="CS34" s="153"/>
      <c r="CT34" s="153"/>
      <c r="CU34" s="153"/>
      <c r="CV34" s="153"/>
      <c r="CW34" s="153"/>
      <c r="CX34" s="153"/>
      <c r="CY34" s="153"/>
      <c r="CZ34" s="153"/>
      <c r="DA34" s="153"/>
      <c r="DB34" s="153"/>
      <c r="DC34" s="153"/>
      <c r="DD34" s="153"/>
      <c r="DE34" s="153"/>
      <c r="DF34" s="153"/>
      <c r="DG34" s="153"/>
      <c r="DH34" s="153"/>
      <c r="DI34" s="153"/>
      <c r="DJ34" s="153"/>
      <c r="DK34" s="153"/>
      <c r="DL34" s="153"/>
      <c r="DM34" s="153"/>
      <c r="DN34" s="154"/>
      <c r="DO34" s="152"/>
      <c r="DP34" s="153"/>
      <c r="DQ34" s="153"/>
      <c r="DR34" s="153"/>
      <c r="DS34" s="154"/>
    </row>
    <row r="35" spans="1:123" ht="6" customHeight="1" x14ac:dyDescent="0.35">
      <c r="A35" s="183"/>
      <c r="B35" s="184"/>
      <c r="C35" s="184"/>
      <c r="D35" s="185"/>
      <c r="E35" s="166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79"/>
      <c r="AN35" s="180"/>
      <c r="AO35" s="182"/>
      <c r="AP35" s="162"/>
      <c r="AQ35" s="162"/>
      <c r="AR35" s="162"/>
      <c r="AS35" s="163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225"/>
      <c r="BH35" s="226"/>
      <c r="BI35" s="130"/>
      <c r="BJ35" s="131"/>
      <c r="BK35" s="131"/>
      <c r="BL35" s="131"/>
      <c r="BM35" s="231"/>
      <c r="BN35" s="232"/>
      <c r="BO35" s="232"/>
      <c r="BP35" s="232"/>
      <c r="BQ35" s="232"/>
      <c r="BR35" s="232"/>
      <c r="BS35" s="232"/>
      <c r="BT35" s="232"/>
      <c r="BU35" s="232"/>
      <c r="BV35" s="232"/>
      <c r="BW35" s="232"/>
      <c r="BX35" s="232"/>
      <c r="BY35" s="237"/>
      <c r="BZ35" s="238"/>
      <c r="CA35" s="140"/>
      <c r="CB35" s="140"/>
      <c r="CC35" s="140"/>
      <c r="CD35" s="141"/>
      <c r="CF35" s="155"/>
      <c r="CG35" s="156"/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6"/>
      <c r="CY35" s="156"/>
      <c r="CZ35" s="156"/>
      <c r="DA35" s="156"/>
      <c r="DB35" s="156"/>
      <c r="DC35" s="156"/>
      <c r="DD35" s="156"/>
      <c r="DE35" s="156"/>
      <c r="DF35" s="156"/>
      <c r="DG35" s="156"/>
      <c r="DH35" s="156"/>
      <c r="DI35" s="156"/>
      <c r="DJ35" s="156"/>
      <c r="DK35" s="156"/>
      <c r="DL35" s="156"/>
      <c r="DM35" s="156"/>
      <c r="DN35" s="157"/>
      <c r="DO35" s="155"/>
      <c r="DP35" s="156"/>
      <c r="DQ35" s="156"/>
      <c r="DR35" s="156"/>
      <c r="DS35" s="157"/>
    </row>
    <row r="36" spans="1:123" ht="6" customHeight="1" x14ac:dyDescent="0.35">
      <c r="A36" s="186"/>
      <c r="B36" s="187"/>
      <c r="C36" s="187"/>
      <c r="D36" s="188"/>
      <c r="E36" s="168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70"/>
      <c r="AN36" s="171"/>
      <c r="AO36" s="9"/>
      <c r="AP36" s="164"/>
      <c r="AQ36" s="164"/>
      <c r="AR36" s="164"/>
      <c r="AS36" s="165"/>
      <c r="AU36" s="127"/>
      <c r="AV36" s="128"/>
      <c r="AW36" s="128"/>
      <c r="AX36" s="128"/>
      <c r="AY36" s="128"/>
      <c r="AZ36" s="128"/>
      <c r="BA36" s="128"/>
      <c r="BB36" s="128"/>
      <c r="BC36" s="129"/>
      <c r="BD36" s="127"/>
      <c r="BE36" s="128"/>
      <c r="BF36" s="128"/>
      <c r="BG36" s="128"/>
      <c r="BH36" s="128"/>
      <c r="BI36" s="128"/>
      <c r="BJ36" s="128"/>
      <c r="BK36" s="128"/>
      <c r="BL36" s="128"/>
      <c r="BM36" s="137"/>
      <c r="BN36" s="110"/>
      <c r="BO36" s="110"/>
      <c r="BP36" s="110"/>
      <c r="BQ36" s="110"/>
      <c r="BR36" s="110"/>
      <c r="BS36" s="110"/>
      <c r="BT36" s="110"/>
      <c r="BU36" s="138"/>
      <c r="BV36" s="137"/>
      <c r="BW36" s="110"/>
      <c r="BX36" s="110"/>
      <c r="BY36" s="110"/>
      <c r="BZ36" s="110"/>
      <c r="CA36" s="142"/>
      <c r="CB36" s="142"/>
      <c r="CC36" s="142"/>
      <c r="CD36" s="143"/>
      <c r="CF36" s="152"/>
      <c r="CG36" s="153"/>
      <c r="CH36" s="153"/>
      <c r="CI36" s="153"/>
      <c r="CJ36" s="153"/>
      <c r="CK36" s="153"/>
      <c r="CL36" s="153"/>
      <c r="CM36" s="153"/>
      <c r="CN36" s="153"/>
      <c r="CO36" s="153"/>
      <c r="CP36" s="153"/>
      <c r="CQ36" s="153"/>
      <c r="CR36" s="153"/>
      <c r="CS36" s="153"/>
      <c r="CT36" s="153"/>
      <c r="CU36" s="153"/>
      <c r="CV36" s="153"/>
      <c r="CW36" s="153"/>
      <c r="CX36" s="153"/>
      <c r="CY36" s="153"/>
      <c r="CZ36" s="153"/>
      <c r="DA36" s="153"/>
      <c r="DB36" s="153"/>
      <c r="DC36" s="153"/>
      <c r="DD36" s="153"/>
      <c r="DE36" s="153"/>
      <c r="DF36" s="153"/>
      <c r="DG36" s="153"/>
      <c r="DH36" s="153"/>
      <c r="DI36" s="153"/>
      <c r="DJ36" s="153"/>
      <c r="DK36" s="153"/>
      <c r="DL36" s="153"/>
      <c r="DM36" s="153"/>
      <c r="DN36" s="154"/>
      <c r="DO36" s="152"/>
      <c r="DP36" s="153"/>
      <c r="DQ36" s="153"/>
      <c r="DR36" s="153"/>
      <c r="DS36" s="154"/>
    </row>
    <row r="37" spans="1:123" ht="6" customHeight="1" x14ac:dyDescent="0.35">
      <c r="A37" s="213" t="s">
        <v>21</v>
      </c>
      <c r="B37" s="214"/>
      <c r="C37" s="214"/>
      <c r="D37" s="214"/>
      <c r="E37" s="205" t="s">
        <v>197</v>
      </c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307" t="str">
        <f>_xlfn.XLOOKUP(E39,'Skill Calcs'!$F$2:$F$15,'Skill Calcs'!$G$2:$G$15,"",0,1)</f>
        <v>Body</v>
      </c>
      <c r="AC37" s="307"/>
      <c r="AD37" s="307"/>
      <c r="AE37" s="307"/>
      <c r="AF37" s="307"/>
      <c r="AG37" s="307"/>
      <c r="AH37" s="189">
        <v>6</v>
      </c>
      <c r="AI37" s="190"/>
      <c r="AJ37" s="190"/>
      <c r="AK37" s="191"/>
      <c r="AL37" s="189">
        <f>IF(_CTR_4&gt;0,_CTR_4,"")</f>
        <v>4</v>
      </c>
      <c r="AM37" s="190"/>
      <c r="AN37" s="190"/>
      <c r="AO37" s="191"/>
      <c r="AP37" s="189">
        <v>7</v>
      </c>
      <c r="AQ37" s="190"/>
      <c r="AR37" s="190"/>
      <c r="AS37" s="197"/>
      <c r="AU37" s="109"/>
      <c r="AV37" s="110"/>
      <c r="AW37" s="110"/>
      <c r="AX37" s="110"/>
      <c r="AY37" s="110"/>
      <c r="AZ37" s="110"/>
      <c r="BA37" s="110"/>
      <c r="BB37" s="110"/>
      <c r="BC37" s="125"/>
      <c r="BD37" s="109"/>
      <c r="BE37" s="110"/>
      <c r="BF37" s="110"/>
      <c r="BG37" s="110"/>
      <c r="BH37" s="110"/>
      <c r="BI37" s="110"/>
      <c r="BJ37" s="110"/>
      <c r="BK37" s="110"/>
      <c r="BL37" s="110"/>
      <c r="BM37" s="137"/>
      <c r="BN37" s="110"/>
      <c r="BO37" s="110"/>
      <c r="BP37" s="110"/>
      <c r="BQ37" s="110"/>
      <c r="BR37" s="110"/>
      <c r="BS37" s="110"/>
      <c r="BT37" s="110"/>
      <c r="BU37" s="138"/>
      <c r="BV37" s="137"/>
      <c r="BW37" s="110"/>
      <c r="BX37" s="110"/>
      <c r="BY37" s="110"/>
      <c r="BZ37" s="110"/>
      <c r="CA37" s="110"/>
      <c r="CB37" s="110"/>
      <c r="CC37" s="110"/>
      <c r="CD37" s="138"/>
      <c r="CF37" s="155"/>
      <c r="CG37" s="156"/>
      <c r="CH37" s="156"/>
      <c r="CI37" s="156"/>
      <c r="CJ37" s="156"/>
      <c r="CK37" s="156"/>
      <c r="CL37" s="156"/>
      <c r="CM37" s="156"/>
      <c r="CN37" s="156"/>
      <c r="CO37" s="156"/>
      <c r="CP37" s="156"/>
      <c r="CQ37" s="156"/>
      <c r="CR37" s="156"/>
      <c r="CS37" s="156"/>
      <c r="CT37" s="156"/>
      <c r="CU37" s="156"/>
      <c r="CV37" s="156"/>
      <c r="CW37" s="156"/>
      <c r="CX37" s="156"/>
      <c r="CY37" s="156"/>
      <c r="CZ37" s="156"/>
      <c r="DA37" s="156"/>
      <c r="DB37" s="156"/>
      <c r="DC37" s="156"/>
      <c r="DD37" s="156"/>
      <c r="DE37" s="156"/>
      <c r="DF37" s="156"/>
      <c r="DG37" s="156"/>
      <c r="DH37" s="156"/>
      <c r="DI37" s="156"/>
      <c r="DJ37" s="156"/>
      <c r="DK37" s="156"/>
      <c r="DL37" s="156"/>
      <c r="DM37" s="156"/>
      <c r="DN37" s="157"/>
      <c r="DO37" s="155"/>
      <c r="DP37" s="156"/>
      <c r="DQ37" s="156"/>
      <c r="DR37" s="156"/>
      <c r="DS37" s="157"/>
    </row>
    <row r="38" spans="1:123" ht="6" customHeight="1" x14ac:dyDescent="0.35">
      <c r="A38" s="199"/>
      <c r="B38" s="200"/>
      <c r="C38" s="200"/>
      <c r="D38" s="200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307"/>
      <c r="AC38" s="307"/>
      <c r="AD38" s="307"/>
      <c r="AE38" s="307"/>
      <c r="AF38" s="307"/>
      <c r="AG38" s="307"/>
      <c r="AH38" s="192"/>
      <c r="AI38" s="162"/>
      <c r="AJ38" s="162"/>
      <c r="AK38" s="193"/>
      <c r="AL38" s="192"/>
      <c r="AM38" s="162"/>
      <c r="AN38" s="162"/>
      <c r="AO38" s="193"/>
      <c r="AP38" s="192"/>
      <c r="AQ38" s="162"/>
      <c r="AR38" s="162"/>
      <c r="AS38" s="163"/>
      <c r="AU38" s="109"/>
      <c r="AV38" s="110"/>
      <c r="AW38" s="110"/>
      <c r="AX38" s="110"/>
      <c r="AY38" s="110"/>
      <c r="AZ38" s="110"/>
      <c r="BA38" s="110"/>
      <c r="BB38" s="110"/>
      <c r="BC38" s="125"/>
      <c r="BD38" s="109"/>
      <c r="BE38" s="110"/>
      <c r="BF38" s="110"/>
      <c r="BG38" s="110"/>
      <c r="BH38" s="110"/>
      <c r="BI38" s="110"/>
      <c r="BJ38" s="110"/>
      <c r="BK38" s="110"/>
      <c r="BL38" s="110"/>
      <c r="BM38" s="137"/>
      <c r="BN38" s="110"/>
      <c r="BO38" s="110"/>
      <c r="BP38" s="110"/>
      <c r="BQ38" s="110"/>
      <c r="BR38" s="110"/>
      <c r="BS38" s="110"/>
      <c r="BT38" s="110"/>
      <c r="BU38" s="138"/>
      <c r="BV38" s="137"/>
      <c r="BW38" s="110"/>
      <c r="BX38" s="110"/>
      <c r="BY38" s="110"/>
      <c r="BZ38" s="110"/>
      <c r="CA38" s="110"/>
      <c r="CB38" s="110"/>
      <c r="CC38" s="110"/>
      <c r="CD38" s="138"/>
      <c r="CF38" s="152"/>
      <c r="CG38" s="153"/>
      <c r="CH38" s="153"/>
      <c r="CI38" s="153"/>
      <c r="CJ38" s="153"/>
      <c r="CK38" s="153"/>
      <c r="CL38" s="153"/>
      <c r="CM38" s="153"/>
      <c r="CN38" s="153"/>
      <c r="CO38" s="153"/>
      <c r="CP38" s="153"/>
      <c r="CQ38" s="153"/>
      <c r="CR38" s="153"/>
      <c r="CS38" s="153"/>
      <c r="CT38" s="153"/>
      <c r="CU38" s="153"/>
      <c r="CV38" s="153"/>
      <c r="CW38" s="153"/>
      <c r="CX38" s="153"/>
      <c r="CY38" s="153"/>
      <c r="CZ38" s="153"/>
      <c r="DA38" s="153"/>
      <c r="DB38" s="153"/>
      <c r="DC38" s="153"/>
      <c r="DD38" s="153"/>
      <c r="DE38" s="153"/>
      <c r="DF38" s="153"/>
      <c r="DG38" s="153"/>
      <c r="DH38" s="153"/>
      <c r="DI38" s="153"/>
      <c r="DJ38" s="153"/>
      <c r="DK38" s="153"/>
      <c r="DL38" s="153"/>
      <c r="DM38" s="153"/>
      <c r="DN38" s="154"/>
      <c r="DO38" s="152"/>
      <c r="DP38" s="153"/>
      <c r="DQ38" s="153"/>
      <c r="DR38" s="153"/>
      <c r="DS38" s="154"/>
    </row>
    <row r="39" spans="1:123" ht="6" customHeight="1" x14ac:dyDescent="0.35">
      <c r="A39" s="199" t="s">
        <v>23</v>
      </c>
      <c r="B39" s="200"/>
      <c r="C39" s="200"/>
      <c r="D39" s="200"/>
      <c r="E39" s="205" t="s">
        <v>81</v>
      </c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307"/>
      <c r="AC39" s="307"/>
      <c r="AD39" s="307"/>
      <c r="AE39" s="307"/>
      <c r="AF39" s="307"/>
      <c r="AG39" s="307"/>
      <c r="AH39" s="194"/>
      <c r="AI39" s="195"/>
      <c r="AJ39" s="195"/>
      <c r="AK39" s="196"/>
      <c r="AL39" s="194"/>
      <c r="AM39" s="195"/>
      <c r="AN39" s="195"/>
      <c r="AO39" s="196"/>
      <c r="AP39" s="194"/>
      <c r="AQ39" s="195"/>
      <c r="AR39" s="195"/>
      <c r="AS39" s="198"/>
      <c r="AU39" s="109"/>
      <c r="AV39" s="110"/>
      <c r="AW39" s="110"/>
      <c r="AX39" s="110"/>
      <c r="AY39" s="110"/>
      <c r="AZ39" s="110"/>
      <c r="BA39" s="110"/>
      <c r="BB39" s="110"/>
      <c r="BC39" s="125"/>
      <c r="BD39" s="109"/>
      <c r="BE39" s="110"/>
      <c r="BF39" s="110"/>
      <c r="BG39" s="110"/>
      <c r="BH39" s="110"/>
      <c r="BI39" s="110"/>
      <c r="BJ39" s="110"/>
      <c r="BK39" s="110"/>
      <c r="BL39" s="110"/>
      <c r="BM39" s="137"/>
      <c r="BN39" s="110"/>
      <c r="BO39" s="110"/>
      <c r="BP39" s="110"/>
      <c r="BQ39" s="110"/>
      <c r="BR39" s="110"/>
      <c r="BS39" s="110"/>
      <c r="BT39" s="110"/>
      <c r="BU39" s="138"/>
      <c r="BV39" s="137"/>
      <c r="BW39" s="110"/>
      <c r="BX39" s="110"/>
      <c r="BY39" s="110"/>
      <c r="BZ39" s="110"/>
      <c r="CA39" s="110"/>
      <c r="CB39" s="110"/>
      <c r="CC39" s="110"/>
      <c r="CD39" s="138"/>
      <c r="CF39" s="155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6"/>
      <c r="CY39" s="156"/>
      <c r="CZ39" s="156"/>
      <c r="DA39" s="156"/>
      <c r="DB39" s="156"/>
      <c r="DC39" s="156"/>
      <c r="DD39" s="156"/>
      <c r="DE39" s="156"/>
      <c r="DF39" s="156"/>
      <c r="DG39" s="156"/>
      <c r="DH39" s="156"/>
      <c r="DI39" s="156"/>
      <c r="DJ39" s="156"/>
      <c r="DK39" s="156"/>
      <c r="DL39" s="156"/>
      <c r="DM39" s="156"/>
      <c r="DN39" s="157"/>
      <c r="DO39" s="155"/>
      <c r="DP39" s="156"/>
      <c r="DQ39" s="156"/>
      <c r="DR39" s="156"/>
      <c r="DS39" s="157"/>
    </row>
    <row r="40" spans="1:123" ht="6" customHeight="1" x14ac:dyDescent="0.35">
      <c r="A40" s="199"/>
      <c r="B40" s="200"/>
      <c r="C40" s="200"/>
      <c r="D40" s="200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307"/>
      <c r="AC40" s="307"/>
      <c r="AD40" s="307"/>
      <c r="AE40" s="307"/>
      <c r="AF40" s="307"/>
      <c r="AG40" s="307"/>
      <c r="AH40" s="170" t="s">
        <v>33</v>
      </c>
      <c r="AI40" s="171"/>
      <c r="AJ40" s="203">
        <v>1</v>
      </c>
      <c r="AK40" s="160"/>
      <c r="AL40" s="160"/>
      <c r="AM40" s="204"/>
      <c r="AN40" s="170" t="s">
        <v>25</v>
      </c>
      <c r="AO40" s="171"/>
      <c r="AP40" s="203">
        <v>2</v>
      </c>
      <c r="AQ40" s="160"/>
      <c r="AR40" s="160"/>
      <c r="AS40" s="161"/>
      <c r="AU40" s="130"/>
      <c r="AV40" s="131"/>
      <c r="AW40" s="131"/>
      <c r="AX40" s="131"/>
      <c r="AY40" s="131"/>
      <c r="AZ40" s="131"/>
      <c r="BA40" s="131"/>
      <c r="BB40" s="131"/>
      <c r="BC40" s="132"/>
      <c r="BD40" s="130"/>
      <c r="BE40" s="131"/>
      <c r="BF40" s="131"/>
      <c r="BG40" s="131"/>
      <c r="BH40" s="131"/>
      <c r="BI40" s="131"/>
      <c r="BJ40" s="131"/>
      <c r="BK40" s="131"/>
      <c r="BL40" s="131"/>
      <c r="BM40" s="139"/>
      <c r="BN40" s="140"/>
      <c r="BO40" s="140"/>
      <c r="BP40" s="140"/>
      <c r="BQ40" s="140"/>
      <c r="BR40" s="140"/>
      <c r="BS40" s="140"/>
      <c r="BT40" s="140"/>
      <c r="BU40" s="141"/>
      <c r="BV40" s="139"/>
      <c r="BW40" s="140"/>
      <c r="BX40" s="140"/>
      <c r="BY40" s="140"/>
      <c r="BZ40" s="140"/>
      <c r="CA40" s="140"/>
      <c r="CB40" s="140"/>
      <c r="CC40" s="140"/>
      <c r="CD40" s="141"/>
    </row>
    <row r="41" spans="1:123" ht="6" customHeight="1" x14ac:dyDescent="0.35">
      <c r="A41" s="183" t="s">
        <v>62</v>
      </c>
      <c r="B41" s="184"/>
      <c r="C41" s="184"/>
      <c r="D41" s="185"/>
      <c r="E41" s="166" t="s">
        <v>201</v>
      </c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67"/>
      <c r="AB41" s="167"/>
      <c r="AC41" s="167"/>
      <c r="AD41" s="167"/>
      <c r="AE41" s="167"/>
      <c r="AF41" s="167"/>
      <c r="AG41" s="209"/>
      <c r="AH41" s="181"/>
      <c r="AI41" s="201"/>
      <c r="AJ41" s="192"/>
      <c r="AK41" s="162"/>
      <c r="AL41" s="162"/>
      <c r="AM41" s="193"/>
      <c r="AN41" s="181"/>
      <c r="AO41" s="201"/>
      <c r="AP41" s="192"/>
      <c r="AQ41" s="162"/>
      <c r="AR41" s="162"/>
      <c r="AS41" s="163"/>
      <c r="AU41" s="133" t="s">
        <v>12</v>
      </c>
      <c r="AV41" s="134"/>
      <c r="AW41" s="134"/>
      <c r="AX41" s="134"/>
      <c r="AY41" s="134"/>
      <c r="AZ41" s="134"/>
      <c r="BA41" s="134"/>
      <c r="BB41" s="134"/>
      <c r="BC41" s="134"/>
      <c r="BD41" s="134" t="s">
        <v>13</v>
      </c>
      <c r="BE41" s="134"/>
      <c r="BF41" s="134"/>
      <c r="BG41" s="134"/>
      <c r="BH41" s="134"/>
      <c r="BI41" s="134"/>
      <c r="BJ41" s="134"/>
      <c r="BK41" s="134"/>
      <c r="BL41" s="134"/>
      <c r="BM41" s="144" t="s">
        <v>13</v>
      </c>
      <c r="BN41" s="144"/>
      <c r="BO41" s="144"/>
      <c r="BP41" s="144"/>
      <c r="BQ41" s="144"/>
      <c r="BR41" s="144"/>
      <c r="BS41" s="144"/>
      <c r="BT41" s="144"/>
      <c r="BU41" s="144"/>
      <c r="BV41" s="144" t="s">
        <v>12</v>
      </c>
      <c r="BW41" s="144"/>
      <c r="BX41" s="144"/>
      <c r="BY41" s="144"/>
      <c r="BZ41" s="144"/>
      <c r="CA41" s="144"/>
      <c r="CB41" s="144"/>
      <c r="CC41" s="144"/>
      <c r="CD41" s="146"/>
      <c r="CF41" s="172" t="s">
        <v>22</v>
      </c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59" t="s">
        <v>38</v>
      </c>
      <c r="CY41" s="159"/>
      <c r="CZ41" s="159" t="s">
        <v>37</v>
      </c>
      <c r="DA41" s="159"/>
      <c r="DB41" s="159" t="s">
        <v>36</v>
      </c>
      <c r="DC41" s="159"/>
      <c r="DD41" s="159" t="s">
        <v>39</v>
      </c>
      <c r="DE41" s="159"/>
      <c r="DF41" s="159" t="s">
        <v>35</v>
      </c>
      <c r="DG41" s="159"/>
      <c r="DH41" s="159" t="s">
        <v>24</v>
      </c>
      <c r="DI41" s="159"/>
      <c r="DJ41" s="159" t="s">
        <v>40</v>
      </c>
      <c r="DK41" s="159"/>
      <c r="DL41" s="159" t="s">
        <v>29</v>
      </c>
      <c r="DM41" s="159"/>
      <c r="DN41" s="159"/>
      <c r="DO41" s="159"/>
      <c r="DP41" s="159" t="s">
        <v>34</v>
      </c>
      <c r="DQ41" s="159"/>
      <c r="DR41" s="159"/>
      <c r="DS41" s="159"/>
    </row>
    <row r="42" spans="1:123" ht="6" customHeight="1" x14ac:dyDescent="0.35">
      <c r="A42" s="183"/>
      <c r="B42" s="184"/>
      <c r="C42" s="184"/>
      <c r="D42" s="185"/>
      <c r="E42" s="173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210"/>
      <c r="AH42" s="182"/>
      <c r="AI42" s="202"/>
      <c r="AJ42" s="194"/>
      <c r="AK42" s="195"/>
      <c r="AL42" s="195"/>
      <c r="AM42" s="196"/>
      <c r="AN42" s="182"/>
      <c r="AO42" s="202"/>
      <c r="AP42" s="194"/>
      <c r="AQ42" s="195"/>
      <c r="AR42" s="195"/>
      <c r="AS42" s="198"/>
      <c r="AU42" s="135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7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59"/>
      <c r="DR42" s="159"/>
      <c r="DS42" s="159"/>
    </row>
    <row r="43" spans="1:123" ht="6" customHeight="1" x14ac:dyDescent="0.35">
      <c r="A43" s="183"/>
      <c r="B43" s="184"/>
      <c r="C43" s="184"/>
      <c r="D43" s="185"/>
      <c r="E43" s="166" t="s">
        <v>212</v>
      </c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167"/>
      <c r="AL43" s="167"/>
      <c r="AM43" s="175" t="s">
        <v>26</v>
      </c>
      <c r="AN43" s="176"/>
      <c r="AO43" s="170"/>
      <c r="AP43" s="160">
        <f>AL37-AJ40</f>
        <v>3</v>
      </c>
      <c r="AQ43" s="160"/>
      <c r="AR43" s="160"/>
      <c r="AS43" s="161"/>
      <c r="CF43" s="152"/>
      <c r="CG43" s="153"/>
      <c r="CH43" s="153"/>
      <c r="CI43" s="153"/>
      <c r="CJ43" s="153"/>
      <c r="CK43" s="153"/>
      <c r="CL43" s="153"/>
      <c r="CM43" s="153"/>
      <c r="CN43" s="153"/>
      <c r="CO43" s="153"/>
      <c r="CP43" s="153"/>
      <c r="CQ43" s="153"/>
      <c r="CR43" s="153"/>
      <c r="CS43" s="153"/>
      <c r="CT43" s="153"/>
      <c r="CU43" s="153"/>
      <c r="CV43" s="153"/>
      <c r="CW43" s="154"/>
      <c r="CX43" s="150"/>
      <c r="CY43" s="150"/>
      <c r="CZ43" s="150"/>
      <c r="DA43" s="150"/>
      <c r="DB43" s="150"/>
      <c r="DC43" s="150"/>
      <c r="DD43" s="150"/>
      <c r="DE43" s="150"/>
      <c r="DF43" s="150"/>
      <c r="DG43" s="150"/>
      <c r="DH43" s="150"/>
      <c r="DI43" s="150"/>
      <c r="DJ43" s="150"/>
      <c r="DK43" s="150"/>
      <c r="DL43" s="152"/>
      <c r="DM43" s="153"/>
      <c r="DN43" s="153"/>
      <c r="DO43" s="154"/>
      <c r="DP43" s="150"/>
      <c r="DQ43" s="150"/>
      <c r="DR43" s="150"/>
      <c r="DS43" s="150"/>
    </row>
    <row r="44" spans="1:123" ht="6" customHeight="1" x14ac:dyDescent="0.35">
      <c r="A44" s="183"/>
      <c r="B44" s="184"/>
      <c r="C44" s="184"/>
      <c r="D44" s="185"/>
      <c r="E44" s="173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7"/>
      <c r="AN44" s="178"/>
      <c r="AO44" s="181"/>
      <c r="AP44" s="162"/>
      <c r="AQ44" s="162"/>
      <c r="AR44" s="162"/>
      <c r="AS44" s="163"/>
      <c r="AU44" s="88" t="s">
        <v>63</v>
      </c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119" t="s">
        <v>27</v>
      </c>
      <c r="BH44" s="120"/>
      <c r="BI44" s="121"/>
      <c r="BJ44" s="107"/>
      <c r="BK44" s="107"/>
      <c r="BL44" s="108"/>
      <c r="BM44" s="91" t="s">
        <v>64</v>
      </c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F44" s="155"/>
      <c r="CG44" s="156"/>
      <c r="CH44" s="156"/>
      <c r="CI44" s="156"/>
      <c r="CJ44" s="156"/>
      <c r="CK44" s="156"/>
      <c r="CL44" s="156"/>
      <c r="CM44" s="156"/>
      <c r="CN44" s="156"/>
      <c r="CO44" s="156"/>
      <c r="CP44" s="156"/>
      <c r="CQ44" s="156"/>
      <c r="CR44" s="156"/>
      <c r="CS44" s="156"/>
      <c r="CT44" s="156"/>
      <c r="CU44" s="156"/>
      <c r="CV44" s="156"/>
      <c r="CW44" s="157"/>
      <c r="CX44" s="151"/>
      <c r="CY44" s="151"/>
      <c r="CZ44" s="151"/>
      <c r="DA44" s="151"/>
      <c r="DB44" s="151"/>
      <c r="DC44" s="151"/>
      <c r="DD44" s="151"/>
      <c r="DE44" s="151"/>
      <c r="DF44" s="151"/>
      <c r="DG44" s="151"/>
      <c r="DH44" s="151"/>
      <c r="DI44" s="151"/>
      <c r="DJ44" s="151"/>
      <c r="DK44" s="151"/>
      <c r="DL44" s="155"/>
      <c r="DM44" s="156"/>
      <c r="DN44" s="156"/>
      <c r="DO44" s="157"/>
      <c r="DP44" s="151"/>
      <c r="DQ44" s="151"/>
      <c r="DR44" s="151"/>
      <c r="DS44" s="151"/>
    </row>
    <row r="45" spans="1:123" ht="6" customHeight="1" x14ac:dyDescent="0.35">
      <c r="A45" s="183"/>
      <c r="B45" s="184"/>
      <c r="C45" s="184"/>
      <c r="D45" s="185"/>
      <c r="E45" s="166" t="s">
        <v>186</v>
      </c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7"/>
      <c r="AJ45" s="167"/>
      <c r="AK45" s="167"/>
      <c r="AL45" s="167"/>
      <c r="AM45" s="179"/>
      <c r="AN45" s="180"/>
      <c r="AO45" s="182"/>
      <c r="AP45" s="162"/>
      <c r="AQ45" s="162"/>
      <c r="AR45" s="162"/>
      <c r="AS45" s="163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119"/>
      <c r="BH45" s="120"/>
      <c r="BI45" s="122"/>
      <c r="BJ45" s="110"/>
      <c r="BK45" s="110"/>
      <c r="BL45" s="11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  <c r="CC45" s="91"/>
      <c r="CD45" s="91"/>
      <c r="CF45" s="158" t="s">
        <v>41</v>
      </c>
      <c r="CG45" s="158"/>
      <c r="CH45" s="158"/>
      <c r="CI45" s="158"/>
      <c r="CJ45" s="158"/>
      <c r="CK45" s="158"/>
      <c r="CL45" s="158"/>
      <c r="CM45" s="152"/>
      <c r="CN45" s="153"/>
      <c r="CO45" s="153"/>
      <c r="CP45" s="153"/>
      <c r="CQ45" s="153"/>
      <c r="CR45" s="153"/>
      <c r="CS45" s="153"/>
      <c r="CT45" s="153"/>
      <c r="CU45" s="153"/>
      <c r="CV45" s="153"/>
      <c r="CW45" s="153"/>
      <c r="CX45" s="153"/>
      <c r="CY45" s="153"/>
      <c r="CZ45" s="153"/>
      <c r="DA45" s="153"/>
      <c r="DB45" s="153"/>
      <c r="DC45" s="153"/>
      <c r="DD45" s="153"/>
      <c r="DE45" s="153"/>
      <c r="DF45" s="153"/>
      <c r="DG45" s="153"/>
      <c r="DH45" s="153"/>
      <c r="DI45" s="153"/>
      <c r="DJ45" s="153"/>
      <c r="DK45" s="153"/>
      <c r="DL45" s="153"/>
      <c r="DM45" s="153"/>
      <c r="DN45" s="153"/>
      <c r="DO45" s="153"/>
      <c r="DP45" s="153"/>
      <c r="DQ45" s="153"/>
      <c r="DR45" s="153"/>
      <c r="DS45" s="154"/>
    </row>
    <row r="46" spans="1:123" ht="6" customHeight="1" x14ac:dyDescent="0.35">
      <c r="A46" s="186"/>
      <c r="B46" s="187"/>
      <c r="C46" s="187"/>
      <c r="D46" s="188"/>
      <c r="E46" s="168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70"/>
      <c r="AN46" s="171"/>
      <c r="AO46" s="9"/>
      <c r="AP46" s="164"/>
      <c r="AQ46" s="164"/>
      <c r="AR46" s="164"/>
      <c r="AS46" s="165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120"/>
      <c r="BH46" s="120"/>
      <c r="BI46" s="123"/>
      <c r="BJ46" s="113"/>
      <c r="BK46" s="113"/>
      <c r="BL46" s="114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F46" s="159"/>
      <c r="CG46" s="159"/>
      <c r="CH46" s="159"/>
      <c r="CI46" s="159"/>
      <c r="CJ46" s="159"/>
      <c r="CK46" s="159"/>
      <c r="CL46" s="159"/>
      <c r="CM46" s="155"/>
      <c r="CN46" s="156"/>
      <c r="CO46" s="156"/>
      <c r="CP46" s="156"/>
      <c r="CQ46" s="156"/>
      <c r="CR46" s="156"/>
      <c r="CS46" s="156"/>
      <c r="CT46" s="156"/>
      <c r="CU46" s="156"/>
      <c r="CV46" s="156"/>
      <c r="CW46" s="156"/>
      <c r="CX46" s="156"/>
      <c r="CY46" s="156"/>
      <c r="CZ46" s="156"/>
      <c r="DA46" s="156"/>
      <c r="DB46" s="156"/>
      <c r="DC46" s="156"/>
      <c r="DD46" s="156"/>
      <c r="DE46" s="156"/>
      <c r="DF46" s="156"/>
      <c r="DG46" s="156"/>
      <c r="DH46" s="156"/>
      <c r="DI46" s="156"/>
      <c r="DJ46" s="156"/>
      <c r="DK46" s="156"/>
      <c r="DL46" s="156"/>
      <c r="DM46" s="156"/>
      <c r="DN46" s="156"/>
      <c r="DO46" s="156"/>
      <c r="DP46" s="156"/>
      <c r="DQ46" s="156"/>
      <c r="DR46" s="156"/>
      <c r="DS46" s="157"/>
    </row>
    <row r="47" spans="1:123" ht="6" customHeight="1" x14ac:dyDescent="0.35">
      <c r="A47" s="213" t="s">
        <v>21</v>
      </c>
      <c r="B47" s="214"/>
      <c r="C47" s="214"/>
      <c r="D47" s="214"/>
      <c r="E47" s="205" t="s">
        <v>198</v>
      </c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307" t="str">
        <f>_xlfn.XLOOKUP(E49,'Skill Calcs'!$F$2:$F$15,'Skill Calcs'!$G$2:$G$15,"",0,1)</f>
        <v>Mind</v>
      </c>
      <c r="AC47" s="307"/>
      <c r="AD47" s="307"/>
      <c r="AE47" s="307"/>
      <c r="AF47" s="307"/>
      <c r="AG47" s="307"/>
      <c r="AH47" s="189">
        <v>3</v>
      </c>
      <c r="AI47" s="190"/>
      <c r="AJ47" s="190"/>
      <c r="AK47" s="191"/>
      <c r="AL47" s="189">
        <f>IF(_CTR_5&gt;0,_CTR_5,"")</f>
        <v>1</v>
      </c>
      <c r="AM47" s="190"/>
      <c r="AN47" s="190"/>
      <c r="AO47" s="191"/>
      <c r="AP47" s="189"/>
      <c r="AQ47" s="190"/>
      <c r="AR47" s="190"/>
      <c r="AS47" s="197"/>
      <c r="AU47" s="121"/>
      <c r="AV47" s="107"/>
      <c r="AW47" s="107"/>
      <c r="AX47" s="107"/>
      <c r="AY47" s="107"/>
      <c r="AZ47" s="107"/>
      <c r="BA47" s="107"/>
      <c r="BB47" s="107"/>
      <c r="BC47" s="124"/>
      <c r="BD47" s="106"/>
      <c r="BE47" s="107"/>
      <c r="BF47" s="107"/>
      <c r="BG47" s="107"/>
      <c r="BH47" s="107"/>
      <c r="BI47" s="107"/>
      <c r="BJ47" s="107"/>
      <c r="BK47" s="107"/>
      <c r="BL47" s="108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F47" s="152"/>
      <c r="CG47" s="153"/>
      <c r="CH47" s="153"/>
      <c r="CI47" s="153"/>
      <c r="CJ47" s="153"/>
      <c r="CK47" s="153"/>
      <c r="CL47" s="153"/>
      <c r="CM47" s="153"/>
      <c r="CN47" s="153"/>
      <c r="CO47" s="153"/>
      <c r="CP47" s="153"/>
      <c r="CQ47" s="153"/>
      <c r="CR47" s="153"/>
      <c r="CS47" s="153"/>
      <c r="CT47" s="153"/>
      <c r="CU47" s="153"/>
      <c r="CV47" s="153"/>
      <c r="CW47" s="154"/>
      <c r="CX47" s="150"/>
      <c r="CY47" s="150"/>
      <c r="CZ47" s="150"/>
      <c r="DA47" s="150"/>
      <c r="DB47" s="150"/>
      <c r="DC47" s="150"/>
      <c r="DD47" s="150"/>
      <c r="DE47" s="150"/>
      <c r="DF47" s="150"/>
      <c r="DG47" s="150"/>
      <c r="DH47" s="150"/>
      <c r="DI47" s="150"/>
      <c r="DJ47" s="150"/>
      <c r="DK47" s="150"/>
      <c r="DL47" s="152"/>
      <c r="DM47" s="153"/>
      <c r="DN47" s="153"/>
      <c r="DO47" s="154"/>
      <c r="DP47" s="150"/>
      <c r="DQ47" s="150"/>
      <c r="DR47" s="150"/>
      <c r="DS47" s="150"/>
    </row>
    <row r="48" spans="1:123" ht="6" customHeight="1" x14ac:dyDescent="0.35">
      <c r="A48" s="199"/>
      <c r="B48" s="200"/>
      <c r="C48" s="200"/>
      <c r="D48" s="200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307"/>
      <c r="AC48" s="307"/>
      <c r="AD48" s="307"/>
      <c r="AE48" s="307"/>
      <c r="AF48" s="307"/>
      <c r="AG48" s="307"/>
      <c r="AH48" s="192"/>
      <c r="AI48" s="162"/>
      <c r="AJ48" s="162"/>
      <c r="AK48" s="193"/>
      <c r="AL48" s="192"/>
      <c r="AM48" s="162"/>
      <c r="AN48" s="162"/>
      <c r="AO48" s="193"/>
      <c r="AP48" s="192"/>
      <c r="AQ48" s="162"/>
      <c r="AR48" s="162"/>
      <c r="AS48" s="163"/>
      <c r="AU48" s="122"/>
      <c r="AV48" s="110"/>
      <c r="AW48" s="110"/>
      <c r="AX48" s="110"/>
      <c r="AY48" s="110"/>
      <c r="AZ48" s="110"/>
      <c r="BA48" s="110"/>
      <c r="BB48" s="110"/>
      <c r="BC48" s="125"/>
      <c r="BD48" s="109"/>
      <c r="BE48" s="110"/>
      <c r="BF48" s="110"/>
      <c r="BG48" s="110"/>
      <c r="BH48" s="110"/>
      <c r="BI48" s="110"/>
      <c r="BJ48" s="110"/>
      <c r="BK48" s="110"/>
      <c r="BL48" s="111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4"/>
      <c r="BX48" s="94"/>
      <c r="BY48" s="94"/>
      <c r="BZ48" s="94"/>
      <c r="CA48" s="94"/>
      <c r="CB48" s="94"/>
      <c r="CC48" s="94"/>
      <c r="CD48" s="94"/>
      <c r="CF48" s="155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156"/>
      <c r="CS48" s="156"/>
      <c r="CT48" s="156"/>
      <c r="CU48" s="156"/>
      <c r="CV48" s="156"/>
      <c r="CW48" s="157"/>
      <c r="CX48" s="151"/>
      <c r="CY48" s="151"/>
      <c r="CZ48" s="151"/>
      <c r="DA48" s="151"/>
      <c r="DB48" s="151"/>
      <c r="DC48" s="151"/>
      <c r="DD48" s="151"/>
      <c r="DE48" s="151"/>
      <c r="DF48" s="151"/>
      <c r="DG48" s="151"/>
      <c r="DH48" s="151"/>
      <c r="DI48" s="151"/>
      <c r="DJ48" s="151"/>
      <c r="DK48" s="151"/>
      <c r="DL48" s="155"/>
      <c r="DM48" s="156"/>
      <c r="DN48" s="156"/>
      <c r="DO48" s="157"/>
      <c r="DP48" s="151"/>
      <c r="DQ48" s="151"/>
      <c r="DR48" s="151"/>
      <c r="DS48" s="151"/>
    </row>
    <row r="49" spans="1:123" ht="6" customHeight="1" x14ac:dyDescent="0.35">
      <c r="A49" s="199" t="s">
        <v>23</v>
      </c>
      <c r="B49" s="200"/>
      <c r="C49" s="200"/>
      <c r="D49" s="200"/>
      <c r="E49" s="205" t="s">
        <v>57</v>
      </c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307"/>
      <c r="AC49" s="307"/>
      <c r="AD49" s="307"/>
      <c r="AE49" s="307"/>
      <c r="AF49" s="307"/>
      <c r="AG49" s="307"/>
      <c r="AH49" s="194"/>
      <c r="AI49" s="195"/>
      <c r="AJ49" s="195"/>
      <c r="AK49" s="196"/>
      <c r="AL49" s="194"/>
      <c r="AM49" s="195"/>
      <c r="AN49" s="195"/>
      <c r="AO49" s="196"/>
      <c r="AP49" s="194"/>
      <c r="AQ49" s="195"/>
      <c r="AR49" s="195"/>
      <c r="AS49" s="198"/>
      <c r="AU49" s="122"/>
      <c r="AV49" s="110"/>
      <c r="AW49" s="110"/>
      <c r="AX49" s="110"/>
      <c r="AY49" s="110"/>
      <c r="AZ49" s="110"/>
      <c r="BA49" s="110"/>
      <c r="BB49" s="110"/>
      <c r="BC49" s="125"/>
      <c r="BD49" s="109"/>
      <c r="BE49" s="110"/>
      <c r="BF49" s="110"/>
      <c r="BG49" s="110"/>
      <c r="BH49" s="110"/>
      <c r="BI49" s="110"/>
      <c r="BJ49" s="110"/>
      <c r="BK49" s="110"/>
      <c r="BL49" s="111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F49" s="158" t="s">
        <v>41</v>
      </c>
      <c r="CG49" s="158"/>
      <c r="CH49" s="158"/>
      <c r="CI49" s="158"/>
      <c r="CJ49" s="158"/>
      <c r="CK49" s="158"/>
      <c r="CL49" s="158"/>
      <c r="CM49" s="152"/>
      <c r="CN49" s="153"/>
      <c r="CO49" s="153"/>
      <c r="CP49" s="153"/>
      <c r="CQ49" s="153"/>
      <c r="CR49" s="153"/>
      <c r="CS49" s="153"/>
      <c r="CT49" s="153"/>
      <c r="CU49" s="153"/>
      <c r="CV49" s="153"/>
      <c r="CW49" s="153"/>
      <c r="CX49" s="153"/>
      <c r="CY49" s="153"/>
      <c r="CZ49" s="153"/>
      <c r="DA49" s="153"/>
      <c r="DB49" s="153"/>
      <c r="DC49" s="153"/>
      <c r="DD49" s="153"/>
      <c r="DE49" s="153"/>
      <c r="DF49" s="153"/>
      <c r="DG49" s="153"/>
      <c r="DH49" s="153"/>
      <c r="DI49" s="153"/>
      <c r="DJ49" s="153"/>
      <c r="DK49" s="153"/>
      <c r="DL49" s="153"/>
      <c r="DM49" s="153"/>
      <c r="DN49" s="153"/>
      <c r="DO49" s="153"/>
      <c r="DP49" s="153"/>
      <c r="DQ49" s="153"/>
      <c r="DR49" s="153"/>
      <c r="DS49" s="154"/>
    </row>
    <row r="50" spans="1:123" ht="6" customHeight="1" x14ac:dyDescent="0.35">
      <c r="A50" s="199"/>
      <c r="B50" s="200"/>
      <c r="C50" s="200"/>
      <c r="D50" s="200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307"/>
      <c r="AC50" s="307"/>
      <c r="AD50" s="307"/>
      <c r="AE50" s="307"/>
      <c r="AF50" s="307"/>
      <c r="AG50" s="307"/>
      <c r="AH50" s="170" t="s">
        <v>33</v>
      </c>
      <c r="AI50" s="171"/>
      <c r="AJ50" s="203"/>
      <c r="AK50" s="160"/>
      <c r="AL50" s="160"/>
      <c r="AM50" s="204"/>
      <c r="AN50" s="170" t="s">
        <v>25</v>
      </c>
      <c r="AO50" s="171"/>
      <c r="AP50" s="203"/>
      <c r="AQ50" s="160"/>
      <c r="AR50" s="160"/>
      <c r="AS50" s="161"/>
      <c r="AU50" s="122"/>
      <c r="AV50" s="110"/>
      <c r="AW50" s="110"/>
      <c r="AX50" s="110"/>
      <c r="AY50" s="110"/>
      <c r="AZ50" s="110"/>
      <c r="BA50" s="110"/>
      <c r="BB50" s="110"/>
      <c r="BC50" s="125"/>
      <c r="BD50" s="109"/>
      <c r="BE50" s="110"/>
      <c r="BF50" s="110"/>
      <c r="BG50" s="110"/>
      <c r="BH50" s="110"/>
      <c r="BI50" s="110"/>
      <c r="BJ50" s="110"/>
      <c r="BK50" s="110"/>
      <c r="BL50" s="111"/>
      <c r="BM50" s="94"/>
      <c r="BN50" s="94"/>
      <c r="BO50" s="94"/>
      <c r="BP50" s="94"/>
      <c r="BQ50" s="94"/>
      <c r="BR50" s="94"/>
      <c r="BS50" s="94"/>
      <c r="BT50" s="94"/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F50" s="159"/>
      <c r="CG50" s="159"/>
      <c r="CH50" s="159"/>
      <c r="CI50" s="159"/>
      <c r="CJ50" s="159"/>
      <c r="CK50" s="159"/>
      <c r="CL50" s="159"/>
      <c r="CM50" s="155"/>
      <c r="CN50" s="156"/>
      <c r="CO50" s="156"/>
      <c r="CP50" s="156"/>
      <c r="CQ50" s="156"/>
      <c r="CR50" s="156"/>
      <c r="CS50" s="156"/>
      <c r="CT50" s="156"/>
      <c r="CU50" s="156"/>
      <c r="CV50" s="156"/>
      <c r="CW50" s="156"/>
      <c r="CX50" s="156"/>
      <c r="CY50" s="156"/>
      <c r="CZ50" s="156"/>
      <c r="DA50" s="156"/>
      <c r="DB50" s="156"/>
      <c r="DC50" s="156"/>
      <c r="DD50" s="156"/>
      <c r="DE50" s="156"/>
      <c r="DF50" s="156"/>
      <c r="DG50" s="156"/>
      <c r="DH50" s="156"/>
      <c r="DI50" s="156"/>
      <c r="DJ50" s="156"/>
      <c r="DK50" s="156"/>
      <c r="DL50" s="156"/>
      <c r="DM50" s="156"/>
      <c r="DN50" s="156"/>
      <c r="DO50" s="156"/>
      <c r="DP50" s="156"/>
      <c r="DQ50" s="156"/>
      <c r="DR50" s="156"/>
      <c r="DS50" s="157"/>
    </row>
    <row r="51" spans="1:123" ht="6" customHeight="1" x14ac:dyDescent="0.35">
      <c r="A51" s="183" t="s">
        <v>62</v>
      </c>
      <c r="B51" s="184"/>
      <c r="C51" s="184"/>
      <c r="D51" s="185"/>
      <c r="E51" s="166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209"/>
      <c r="AH51" s="181"/>
      <c r="AI51" s="201"/>
      <c r="AJ51" s="192"/>
      <c r="AK51" s="162"/>
      <c r="AL51" s="162"/>
      <c r="AM51" s="193"/>
      <c r="AN51" s="181"/>
      <c r="AO51" s="201"/>
      <c r="AP51" s="192"/>
      <c r="AQ51" s="162"/>
      <c r="AR51" s="162"/>
      <c r="AS51" s="163"/>
      <c r="AU51" s="123"/>
      <c r="AV51" s="113"/>
      <c r="AW51" s="113"/>
      <c r="AX51" s="113"/>
      <c r="AY51" s="113"/>
      <c r="AZ51" s="113"/>
      <c r="BA51" s="113"/>
      <c r="BB51" s="113"/>
      <c r="BC51" s="126"/>
      <c r="BD51" s="112"/>
      <c r="BE51" s="113"/>
      <c r="BF51" s="113"/>
      <c r="BG51" s="113"/>
      <c r="BH51" s="113"/>
      <c r="BI51" s="113"/>
      <c r="BJ51" s="113"/>
      <c r="BK51" s="113"/>
      <c r="BL51" s="114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F51" s="152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4"/>
      <c r="CX51" s="150"/>
      <c r="CY51" s="150"/>
      <c r="CZ51" s="150"/>
      <c r="DA51" s="150"/>
      <c r="DB51" s="150"/>
      <c r="DC51" s="150"/>
      <c r="DD51" s="150"/>
      <c r="DE51" s="150"/>
      <c r="DF51" s="150"/>
      <c r="DG51" s="150"/>
      <c r="DH51" s="150"/>
      <c r="DI51" s="150"/>
      <c r="DJ51" s="150"/>
      <c r="DK51" s="150"/>
      <c r="DL51" s="152"/>
      <c r="DM51" s="153"/>
      <c r="DN51" s="153"/>
      <c r="DO51" s="154"/>
      <c r="DP51" s="150"/>
      <c r="DQ51" s="150"/>
      <c r="DR51" s="150"/>
      <c r="DS51" s="150"/>
    </row>
    <row r="52" spans="1:123" ht="6" customHeight="1" x14ac:dyDescent="0.35">
      <c r="A52" s="183"/>
      <c r="B52" s="184"/>
      <c r="C52" s="184"/>
      <c r="D52" s="185"/>
      <c r="E52" s="173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  <c r="AB52" s="174"/>
      <c r="AC52" s="174"/>
      <c r="AD52" s="174"/>
      <c r="AE52" s="174"/>
      <c r="AF52" s="174"/>
      <c r="AG52" s="210"/>
      <c r="AH52" s="182"/>
      <c r="AI52" s="202"/>
      <c r="AJ52" s="194"/>
      <c r="AK52" s="195"/>
      <c r="AL52" s="195"/>
      <c r="AM52" s="196"/>
      <c r="AN52" s="182"/>
      <c r="AO52" s="202"/>
      <c r="AP52" s="194"/>
      <c r="AQ52" s="195"/>
      <c r="AR52" s="195"/>
      <c r="AS52" s="198"/>
      <c r="AU52" s="115" t="s">
        <v>65</v>
      </c>
      <c r="AV52" s="116"/>
      <c r="AW52" s="116"/>
      <c r="AX52" s="116"/>
      <c r="AY52" s="116"/>
      <c r="AZ52" s="116"/>
      <c r="BA52" s="116"/>
      <c r="BB52" s="116"/>
      <c r="BC52" s="116"/>
      <c r="BD52" s="116" t="s">
        <v>66</v>
      </c>
      <c r="BE52" s="116"/>
      <c r="BF52" s="116"/>
      <c r="BG52" s="116"/>
      <c r="BH52" s="116"/>
      <c r="BI52" s="116"/>
      <c r="BJ52" s="116"/>
      <c r="BK52" s="116"/>
      <c r="BL52" s="116"/>
      <c r="BM52" s="96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8"/>
      <c r="CF52" s="155"/>
      <c r="CG52" s="156"/>
      <c r="CH52" s="156"/>
      <c r="CI52" s="156"/>
      <c r="CJ52" s="156"/>
      <c r="CK52" s="156"/>
      <c r="CL52" s="156"/>
      <c r="CM52" s="156"/>
      <c r="CN52" s="156"/>
      <c r="CO52" s="156"/>
      <c r="CP52" s="156"/>
      <c r="CQ52" s="156"/>
      <c r="CR52" s="156"/>
      <c r="CS52" s="156"/>
      <c r="CT52" s="156"/>
      <c r="CU52" s="156"/>
      <c r="CV52" s="156"/>
      <c r="CW52" s="157"/>
      <c r="CX52" s="151"/>
      <c r="CY52" s="151"/>
      <c r="CZ52" s="151"/>
      <c r="DA52" s="151"/>
      <c r="DB52" s="151"/>
      <c r="DC52" s="151"/>
      <c r="DD52" s="151"/>
      <c r="DE52" s="151"/>
      <c r="DF52" s="151"/>
      <c r="DG52" s="151"/>
      <c r="DH52" s="151"/>
      <c r="DI52" s="151"/>
      <c r="DJ52" s="151"/>
      <c r="DK52" s="151"/>
      <c r="DL52" s="155"/>
      <c r="DM52" s="156"/>
      <c r="DN52" s="156"/>
      <c r="DO52" s="157"/>
      <c r="DP52" s="151"/>
      <c r="DQ52" s="151"/>
      <c r="DR52" s="151"/>
      <c r="DS52" s="151"/>
    </row>
    <row r="53" spans="1:123" ht="6" customHeight="1" x14ac:dyDescent="0.35">
      <c r="A53" s="183"/>
      <c r="B53" s="184"/>
      <c r="C53" s="184"/>
      <c r="D53" s="185"/>
      <c r="E53" s="166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  <c r="AL53" s="167"/>
      <c r="AM53" s="175" t="s">
        <v>26</v>
      </c>
      <c r="AN53" s="176"/>
      <c r="AO53" s="170"/>
      <c r="AP53" s="160">
        <f>AL47-AJ50</f>
        <v>1</v>
      </c>
      <c r="AQ53" s="160"/>
      <c r="AR53" s="160"/>
      <c r="AS53" s="161"/>
      <c r="AU53" s="117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99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1"/>
      <c r="CF53" s="158" t="s">
        <v>41</v>
      </c>
      <c r="CG53" s="158"/>
      <c r="CH53" s="158"/>
      <c r="CI53" s="158"/>
      <c r="CJ53" s="158"/>
      <c r="CK53" s="158"/>
      <c r="CL53" s="158"/>
      <c r="CM53" s="152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  <c r="DG53" s="153"/>
      <c r="DH53" s="153"/>
      <c r="DI53" s="153"/>
      <c r="DJ53" s="153"/>
      <c r="DK53" s="153"/>
      <c r="DL53" s="153"/>
      <c r="DM53" s="153"/>
      <c r="DN53" s="153"/>
      <c r="DO53" s="153"/>
      <c r="DP53" s="153"/>
      <c r="DQ53" s="153"/>
      <c r="DR53" s="153"/>
      <c r="DS53" s="154"/>
    </row>
    <row r="54" spans="1:123" ht="6" customHeight="1" x14ac:dyDescent="0.35">
      <c r="A54" s="183"/>
      <c r="B54" s="184"/>
      <c r="C54" s="184"/>
      <c r="D54" s="185"/>
      <c r="E54" s="173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  <c r="AB54" s="174"/>
      <c r="AC54" s="174"/>
      <c r="AD54" s="174"/>
      <c r="AE54" s="174"/>
      <c r="AF54" s="174"/>
      <c r="AG54" s="174"/>
      <c r="AH54" s="174"/>
      <c r="AI54" s="174"/>
      <c r="AJ54" s="174"/>
      <c r="AK54" s="174"/>
      <c r="AL54" s="174"/>
      <c r="AM54" s="177"/>
      <c r="AN54" s="178"/>
      <c r="AO54" s="181"/>
      <c r="AP54" s="162"/>
      <c r="AQ54" s="162"/>
      <c r="AR54" s="162"/>
      <c r="AS54" s="163"/>
      <c r="CF54" s="159"/>
      <c r="CG54" s="159"/>
      <c r="CH54" s="159"/>
      <c r="CI54" s="159"/>
      <c r="CJ54" s="159"/>
      <c r="CK54" s="159"/>
      <c r="CL54" s="159"/>
      <c r="CM54" s="155"/>
      <c r="CN54" s="156"/>
      <c r="CO54" s="156"/>
      <c r="CP54" s="156"/>
      <c r="CQ54" s="156"/>
      <c r="CR54" s="156"/>
      <c r="CS54" s="156"/>
      <c r="CT54" s="156"/>
      <c r="CU54" s="156"/>
      <c r="CV54" s="156"/>
      <c r="CW54" s="156"/>
      <c r="CX54" s="156"/>
      <c r="CY54" s="156"/>
      <c r="CZ54" s="156"/>
      <c r="DA54" s="156"/>
      <c r="DB54" s="156"/>
      <c r="DC54" s="156"/>
      <c r="DD54" s="156"/>
      <c r="DE54" s="156"/>
      <c r="DF54" s="156"/>
      <c r="DG54" s="156"/>
      <c r="DH54" s="156"/>
      <c r="DI54" s="156"/>
      <c r="DJ54" s="156"/>
      <c r="DK54" s="156"/>
      <c r="DL54" s="156"/>
      <c r="DM54" s="156"/>
      <c r="DN54" s="156"/>
      <c r="DO54" s="156"/>
      <c r="DP54" s="156"/>
      <c r="DQ54" s="156"/>
      <c r="DR54" s="156"/>
      <c r="DS54" s="157"/>
    </row>
    <row r="55" spans="1:123" ht="6" customHeight="1" x14ac:dyDescent="0.35">
      <c r="A55" s="183"/>
      <c r="B55" s="184"/>
      <c r="C55" s="184"/>
      <c r="D55" s="185"/>
      <c r="E55" s="166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  <c r="AL55" s="167"/>
      <c r="AM55" s="179"/>
      <c r="AN55" s="180"/>
      <c r="AO55" s="182"/>
      <c r="AP55" s="162"/>
      <c r="AQ55" s="162"/>
      <c r="AR55" s="162"/>
      <c r="AS55" s="163"/>
      <c r="AU55" s="86" t="s">
        <v>42</v>
      </c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F55" s="152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4"/>
      <c r="CX55" s="150"/>
      <c r="CY55" s="150"/>
      <c r="CZ55" s="150"/>
      <c r="DA55" s="150"/>
      <c r="DB55" s="150"/>
      <c r="DC55" s="150"/>
      <c r="DD55" s="150"/>
      <c r="DE55" s="150"/>
      <c r="DF55" s="150"/>
      <c r="DG55" s="150"/>
      <c r="DH55" s="150"/>
      <c r="DI55" s="150"/>
      <c r="DJ55" s="150"/>
      <c r="DK55" s="150"/>
      <c r="DL55" s="152"/>
      <c r="DM55" s="153"/>
      <c r="DN55" s="153"/>
      <c r="DO55" s="154"/>
      <c r="DP55" s="150"/>
      <c r="DQ55" s="150"/>
      <c r="DR55" s="150"/>
      <c r="DS55" s="150"/>
    </row>
    <row r="56" spans="1:123" ht="6" customHeight="1" x14ac:dyDescent="0.35">
      <c r="A56" s="186"/>
      <c r="B56" s="187"/>
      <c r="C56" s="187"/>
      <c r="D56" s="188"/>
      <c r="E56" s="168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70"/>
      <c r="AN56" s="171"/>
      <c r="AO56" s="9"/>
      <c r="AP56" s="164"/>
      <c r="AQ56" s="164"/>
      <c r="AR56" s="164"/>
      <c r="AS56" s="165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F56" s="155"/>
      <c r="CG56" s="156"/>
      <c r="CH56" s="156"/>
      <c r="CI56" s="156"/>
      <c r="CJ56" s="156"/>
      <c r="CK56" s="156"/>
      <c r="CL56" s="156"/>
      <c r="CM56" s="156"/>
      <c r="CN56" s="156"/>
      <c r="CO56" s="156"/>
      <c r="CP56" s="156"/>
      <c r="CQ56" s="156"/>
      <c r="CR56" s="156"/>
      <c r="CS56" s="156"/>
      <c r="CT56" s="156"/>
      <c r="CU56" s="156"/>
      <c r="CV56" s="156"/>
      <c r="CW56" s="157"/>
      <c r="CX56" s="151"/>
      <c r="CY56" s="151"/>
      <c r="CZ56" s="151"/>
      <c r="DA56" s="151"/>
      <c r="DB56" s="151"/>
      <c r="DC56" s="151"/>
      <c r="DD56" s="151"/>
      <c r="DE56" s="151"/>
      <c r="DF56" s="151"/>
      <c r="DG56" s="151"/>
      <c r="DH56" s="151"/>
      <c r="DI56" s="151"/>
      <c r="DJ56" s="151"/>
      <c r="DK56" s="151"/>
      <c r="DL56" s="155"/>
      <c r="DM56" s="156"/>
      <c r="DN56" s="156"/>
      <c r="DO56" s="157"/>
      <c r="DP56" s="151"/>
      <c r="DQ56" s="151"/>
      <c r="DR56" s="151"/>
      <c r="DS56" s="151"/>
    </row>
    <row r="57" spans="1:123" ht="6" customHeight="1" x14ac:dyDescent="0.35">
      <c r="A57" s="213" t="s">
        <v>21</v>
      </c>
      <c r="B57" s="214"/>
      <c r="C57" s="214"/>
      <c r="D57" s="214"/>
      <c r="E57" s="205" t="s">
        <v>199</v>
      </c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307" t="str">
        <f>_xlfn.XLOOKUP(E59,'Skill Calcs'!$F$2:$F$15,'Skill Calcs'!$G$2:$G$15,"",0,1)</f>
        <v>Mind</v>
      </c>
      <c r="AC57" s="307"/>
      <c r="AD57" s="307"/>
      <c r="AE57" s="307"/>
      <c r="AF57" s="307"/>
      <c r="AG57" s="307"/>
      <c r="AH57" s="189">
        <v>4</v>
      </c>
      <c r="AI57" s="190"/>
      <c r="AJ57" s="190"/>
      <c r="AK57" s="191"/>
      <c r="AL57" s="189">
        <f>IF(_CTR_6&gt;0,_CTR_6,"")</f>
        <v>2</v>
      </c>
      <c r="AM57" s="190"/>
      <c r="AN57" s="190"/>
      <c r="AO57" s="191"/>
      <c r="AP57" s="189"/>
      <c r="AQ57" s="190"/>
      <c r="AR57" s="190"/>
      <c r="AS57" s="197"/>
      <c r="AU57" s="79" t="s">
        <v>214</v>
      </c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1"/>
      <c r="CF57" s="158" t="s">
        <v>41</v>
      </c>
      <c r="CG57" s="158"/>
      <c r="CH57" s="158"/>
      <c r="CI57" s="158"/>
      <c r="CJ57" s="158"/>
      <c r="CK57" s="158"/>
      <c r="CL57" s="158"/>
      <c r="CM57" s="152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  <c r="DG57" s="153"/>
      <c r="DH57" s="153"/>
      <c r="DI57" s="153"/>
      <c r="DJ57" s="153"/>
      <c r="DK57" s="153"/>
      <c r="DL57" s="153"/>
      <c r="DM57" s="153"/>
      <c r="DN57" s="153"/>
      <c r="DO57" s="153"/>
      <c r="DP57" s="153"/>
      <c r="DQ57" s="153"/>
      <c r="DR57" s="153"/>
      <c r="DS57" s="154"/>
    </row>
    <row r="58" spans="1:123" ht="6" customHeight="1" x14ac:dyDescent="0.35">
      <c r="A58" s="199"/>
      <c r="B58" s="200"/>
      <c r="C58" s="200"/>
      <c r="D58" s="200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307"/>
      <c r="AC58" s="307"/>
      <c r="AD58" s="307"/>
      <c r="AE58" s="307"/>
      <c r="AF58" s="307"/>
      <c r="AG58" s="307"/>
      <c r="AH58" s="192"/>
      <c r="AI58" s="162"/>
      <c r="AJ58" s="162"/>
      <c r="AK58" s="193"/>
      <c r="AL58" s="192"/>
      <c r="AM58" s="162"/>
      <c r="AN58" s="162"/>
      <c r="AO58" s="193"/>
      <c r="AP58" s="192"/>
      <c r="AQ58" s="162"/>
      <c r="AR58" s="162"/>
      <c r="AS58" s="163"/>
      <c r="AU58" s="82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4"/>
      <c r="CF58" s="159"/>
      <c r="CG58" s="159"/>
      <c r="CH58" s="159"/>
      <c r="CI58" s="159"/>
      <c r="CJ58" s="159"/>
      <c r="CK58" s="159"/>
      <c r="CL58" s="159"/>
      <c r="CM58" s="155"/>
      <c r="CN58" s="156"/>
      <c r="CO58" s="156"/>
      <c r="CP58" s="156"/>
      <c r="CQ58" s="156"/>
      <c r="CR58" s="156"/>
      <c r="CS58" s="156"/>
      <c r="CT58" s="156"/>
      <c r="CU58" s="156"/>
      <c r="CV58" s="156"/>
      <c r="CW58" s="156"/>
      <c r="CX58" s="156"/>
      <c r="CY58" s="156"/>
      <c r="CZ58" s="156"/>
      <c r="DA58" s="156"/>
      <c r="DB58" s="156"/>
      <c r="DC58" s="156"/>
      <c r="DD58" s="156"/>
      <c r="DE58" s="156"/>
      <c r="DF58" s="156"/>
      <c r="DG58" s="156"/>
      <c r="DH58" s="156"/>
      <c r="DI58" s="156"/>
      <c r="DJ58" s="156"/>
      <c r="DK58" s="156"/>
      <c r="DL58" s="156"/>
      <c r="DM58" s="156"/>
      <c r="DN58" s="156"/>
      <c r="DO58" s="156"/>
      <c r="DP58" s="156"/>
      <c r="DQ58" s="156"/>
      <c r="DR58" s="156"/>
      <c r="DS58" s="157"/>
    </row>
    <row r="59" spans="1:123" ht="6" customHeight="1" x14ac:dyDescent="0.35">
      <c r="A59" s="199" t="s">
        <v>23</v>
      </c>
      <c r="B59" s="200"/>
      <c r="C59" s="200"/>
      <c r="D59" s="200"/>
      <c r="E59" s="205" t="s">
        <v>51</v>
      </c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307"/>
      <c r="AC59" s="307"/>
      <c r="AD59" s="307"/>
      <c r="AE59" s="307"/>
      <c r="AF59" s="307"/>
      <c r="AG59" s="307"/>
      <c r="AH59" s="194"/>
      <c r="AI59" s="195"/>
      <c r="AJ59" s="195"/>
      <c r="AK59" s="196"/>
      <c r="AL59" s="194"/>
      <c r="AM59" s="195"/>
      <c r="AN59" s="195"/>
      <c r="AO59" s="196"/>
      <c r="AP59" s="194"/>
      <c r="AQ59" s="195"/>
      <c r="AR59" s="195"/>
      <c r="AS59" s="198"/>
      <c r="AU59" s="79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1"/>
      <c r="CF59" s="152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4"/>
      <c r="CX59" s="150"/>
      <c r="CY59" s="150"/>
      <c r="CZ59" s="150"/>
      <c r="DA59" s="150"/>
      <c r="DB59" s="150"/>
      <c r="DC59" s="150"/>
      <c r="DD59" s="150"/>
      <c r="DE59" s="150"/>
      <c r="DF59" s="150"/>
      <c r="DG59" s="150"/>
      <c r="DH59" s="150"/>
      <c r="DI59" s="150"/>
      <c r="DJ59" s="150"/>
      <c r="DK59" s="150"/>
      <c r="DL59" s="152"/>
      <c r="DM59" s="153"/>
      <c r="DN59" s="153"/>
      <c r="DO59" s="154"/>
      <c r="DP59" s="150"/>
      <c r="DQ59" s="150"/>
      <c r="DR59" s="150"/>
      <c r="DS59" s="150"/>
    </row>
    <row r="60" spans="1:123" ht="6" customHeight="1" x14ac:dyDescent="0.35">
      <c r="A60" s="199"/>
      <c r="B60" s="200"/>
      <c r="C60" s="200"/>
      <c r="D60" s="200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307"/>
      <c r="AC60" s="307"/>
      <c r="AD60" s="307"/>
      <c r="AE60" s="307"/>
      <c r="AF60" s="307"/>
      <c r="AG60" s="307"/>
      <c r="AH60" s="170" t="s">
        <v>33</v>
      </c>
      <c r="AI60" s="171"/>
      <c r="AJ60" s="203"/>
      <c r="AK60" s="160"/>
      <c r="AL60" s="160"/>
      <c r="AM60" s="204"/>
      <c r="AN60" s="170" t="s">
        <v>25</v>
      </c>
      <c r="AO60" s="171"/>
      <c r="AP60" s="203"/>
      <c r="AQ60" s="160"/>
      <c r="AR60" s="160"/>
      <c r="AS60" s="161"/>
      <c r="AU60" s="82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4"/>
      <c r="CF60" s="155"/>
      <c r="CG60" s="156"/>
      <c r="CH60" s="156"/>
      <c r="CI60" s="156"/>
      <c r="CJ60" s="156"/>
      <c r="CK60" s="156"/>
      <c r="CL60" s="156"/>
      <c r="CM60" s="156"/>
      <c r="CN60" s="156"/>
      <c r="CO60" s="156"/>
      <c r="CP60" s="156"/>
      <c r="CQ60" s="156"/>
      <c r="CR60" s="156"/>
      <c r="CS60" s="156"/>
      <c r="CT60" s="156"/>
      <c r="CU60" s="156"/>
      <c r="CV60" s="156"/>
      <c r="CW60" s="157"/>
      <c r="CX60" s="151"/>
      <c r="CY60" s="151"/>
      <c r="CZ60" s="151"/>
      <c r="DA60" s="151"/>
      <c r="DB60" s="151"/>
      <c r="DC60" s="151"/>
      <c r="DD60" s="151"/>
      <c r="DE60" s="151"/>
      <c r="DF60" s="151"/>
      <c r="DG60" s="151"/>
      <c r="DH60" s="151"/>
      <c r="DI60" s="151"/>
      <c r="DJ60" s="151"/>
      <c r="DK60" s="151"/>
      <c r="DL60" s="155"/>
      <c r="DM60" s="156"/>
      <c r="DN60" s="156"/>
      <c r="DO60" s="157"/>
      <c r="DP60" s="151"/>
      <c r="DQ60" s="151"/>
      <c r="DR60" s="151"/>
      <c r="DS60" s="151"/>
    </row>
    <row r="61" spans="1:123" ht="6" customHeight="1" x14ac:dyDescent="0.35">
      <c r="A61" s="183" t="s">
        <v>62</v>
      </c>
      <c r="B61" s="184"/>
      <c r="C61" s="184"/>
      <c r="D61" s="185"/>
      <c r="E61" s="166" t="s">
        <v>200</v>
      </c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209"/>
      <c r="AH61" s="181"/>
      <c r="AI61" s="201"/>
      <c r="AJ61" s="192"/>
      <c r="AK61" s="162"/>
      <c r="AL61" s="162"/>
      <c r="AM61" s="193"/>
      <c r="AN61" s="181"/>
      <c r="AO61" s="201"/>
      <c r="AP61" s="192"/>
      <c r="AQ61" s="162"/>
      <c r="AR61" s="162"/>
      <c r="AS61" s="163"/>
      <c r="AU61" s="79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1"/>
      <c r="CF61" s="158" t="s">
        <v>41</v>
      </c>
      <c r="CG61" s="158"/>
      <c r="CH61" s="158"/>
      <c r="CI61" s="158"/>
      <c r="CJ61" s="158"/>
      <c r="CK61" s="158"/>
      <c r="CL61" s="158"/>
      <c r="CM61" s="152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  <c r="DG61" s="153"/>
      <c r="DH61" s="153"/>
      <c r="DI61" s="153"/>
      <c r="DJ61" s="153"/>
      <c r="DK61" s="153"/>
      <c r="DL61" s="153"/>
      <c r="DM61" s="153"/>
      <c r="DN61" s="153"/>
      <c r="DO61" s="153"/>
      <c r="DP61" s="153"/>
      <c r="DQ61" s="153"/>
      <c r="DR61" s="153"/>
      <c r="DS61" s="154"/>
    </row>
    <row r="62" spans="1:123" ht="6" customHeight="1" x14ac:dyDescent="0.35">
      <c r="A62" s="183"/>
      <c r="B62" s="184"/>
      <c r="C62" s="184"/>
      <c r="D62" s="185"/>
      <c r="E62" s="173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210"/>
      <c r="AH62" s="182"/>
      <c r="AI62" s="202"/>
      <c r="AJ62" s="194"/>
      <c r="AK62" s="195"/>
      <c r="AL62" s="195"/>
      <c r="AM62" s="196"/>
      <c r="AN62" s="182"/>
      <c r="AO62" s="202"/>
      <c r="AP62" s="194"/>
      <c r="AQ62" s="195"/>
      <c r="AR62" s="195"/>
      <c r="AS62" s="198"/>
      <c r="AU62" s="82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4"/>
      <c r="CF62" s="159"/>
      <c r="CG62" s="159"/>
      <c r="CH62" s="159"/>
      <c r="CI62" s="159"/>
      <c r="CJ62" s="159"/>
      <c r="CK62" s="159"/>
      <c r="CL62" s="159"/>
      <c r="CM62" s="155"/>
      <c r="CN62" s="156"/>
      <c r="CO62" s="156"/>
      <c r="CP62" s="156"/>
      <c r="CQ62" s="156"/>
      <c r="CR62" s="156"/>
      <c r="CS62" s="156"/>
      <c r="CT62" s="156"/>
      <c r="CU62" s="156"/>
      <c r="CV62" s="156"/>
      <c r="CW62" s="156"/>
      <c r="CX62" s="156"/>
      <c r="CY62" s="156"/>
      <c r="CZ62" s="156"/>
      <c r="DA62" s="156"/>
      <c r="DB62" s="156"/>
      <c r="DC62" s="156"/>
      <c r="DD62" s="156"/>
      <c r="DE62" s="156"/>
      <c r="DF62" s="156"/>
      <c r="DG62" s="156"/>
      <c r="DH62" s="156"/>
      <c r="DI62" s="156"/>
      <c r="DJ62" s="156"/>
      <c r="DK62" s="156"/>
      <c r="DL62" s="156"/>
      <c r="DM62" s="156"/>
      <c r="DN62" s="156"/>
      <c r="DO62" s="156"/>
      <c r="DP62" s="156"/>
      <c r="DQ62" s="156"/>
      <c r="DR62" s="156"/>
      <c r="DS62" s="157"/>
    </row>
    <row r="63" spans="1:123" ht="6" customHeight="1" x14ac:dyDescent="0.35">
      <c r="A63" s="183"/>
      <c r="B63" s="184"/>
      <c r="C63" s="184"/>
      <c r="D63" s="185"/>
      <c r="E63" s="166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75" t="s">
        <v>26</v>
      </c>
      <c r="AN63" s="176"/>
      <c r="AO63" s="170"/>
      <c r="AP63" s="160">
        <f>AL57-AJ60</f>
        <v>2</v>
      </c>
      <c r="AQ63" s="160"/>
      <c r="AR63" s="160"/>
      <c r="AS63" s="161"/>
      <c r="AU63" s="86" t="s">
        <v>43</v>
      </c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86"/>
      <c r="BN63" s="86"/>
      <c r="BO63" s="86"/>
      <c r="BP63" s="86"/>
      <c r="BQ63" s="86"/>
      <c r="BR63" s="86"/>
      <c r="BS63" s="86"/>
      <c r="BT63" s="86"/>
      <c r="BU63" s="86"/>
      <c r="BV63" s="86"/>
      <c r="BW63" s="86"/>
      <c r="BX63" s="86"/>
      <c r="BY63" s="86"/>
      <c r="BZ63" s="86"/>
      <c r="CA63" s="86"/>
      <c r="CB63" s="86"/>
      <c r="CC63" s="86"/>
      <c r="CD63" s="86"/>
      <c r="CE63" s="8"/>
      <c r="CF63" s="152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4"/>
      <c r="CX63" s="150"/>
      <c r="CY63" s="150"/>
      <c r="CZ63" s="150"/>
      <c r="DA63" s="150"/>
      <c r="DB63" s="150"/>
      <c r="DC63" s="150"/>
      <c r="DD63" s="150"/>
      <c r="DE63" s="150"/>
      <c r="DF63" s="150"/>
      <c r="DG63" s="150"/>
      <c r="DH63" s="150"/>
      <c r="DI63" s="150"/>
      <c r="DJ63" s="150"/>
      <c r="DK63" s="150"/>
      <c r="DL63" s="152"/>
      <c r="DM63" s="153"/>
      <c r="DN63" s="153"/>
      <c r="DO63" s="154"/>
      <c r="DP63" s="150"/>
      <c r="DQ63" s="150"/>
      <c r="DR63" s="150"/>
      <c r="DS63" s="150"/>
    </row>
    <row r="64" spans="1:123" ht="6" customHeight="1" x14ac:dyDescent="0.35">
      <c r="A64" s="183"/>
      <c r="B64" s="184"/>
      <c r="C64" s="184"/>
      <c r="D64" s="185"/>
      <c r="E64" s="173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4"/>
      <c r="AH64" s="174"/>
      <c r="AI64" s="174"/>
      <c r="AJ64" s="174"/>
      <c r="AK64" s="174"/>
      <c r="AL64" s="174"/>
      <c r="AM64" s="177"/>
      <c r="AN64" s="178"/>
      <c r="AO64" s="181"/>
      <c r="AP64" s="162"/>
      <c r="AQ64" s="162"/>
      <c r="AR64" s="162"/>
      <c r="AS64" s="163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"/>
      <c r="CF64" s="155"/>
      <c r="CG64" s="156"/>
      <c r="CH64" s="156"/>
      <c r="CI64" s="156"/>
      <c r="CJ64" s="156"/>
      <c r="CK64" s="156"/>
      <c r="CL64" s="156"/>
      <c r="CM64" s="156"/>
      <c r="CN64" s="156"/>
      <c r="CO64" s="156"/>
      <c r="CP64" s="156"/>
      <c r="CQ64" s="156"/>
      <c r="CR64" s="156"/>
      <c r="CS64" s="156"/>
      <c r="CT64" s="156"/>
      <c r="CU64" s="156"/>
      <c r="CV64" s="156"/>
      <c r="CW64" s="157"/>
      <c r="CX64" s="151"/>
      <c r="CY64" s="151"/>
      <c r="CZ64" s="151"/>
      <c r="DA64" s="151"/>
      <c r="DB64" s="151"/>
      <c r="DC64" s="151"/>
      <c r="DD64" s="151"/>
      <c r="DE64" s="151"/>
      <c r="DF64" s="151"/>
      <c r="DG64" s="151"/>
      <c r="DH64" s="151"/>
      <c r="DI64" s="151"/>
      <c r="DJ64" s="151"/>
      <c r="DK64" s="151"/>
      <c r="DL64" s="155"/>
      <c r="DM64" s="156"/>
      <c r="DN64" s="156"/>
      <c r="DO64" s="157"/>
      <c r="DP64" s="151"/>
      <c r="DQ64" s="151"/>
      <c r="DR64" s="151"/>
      <c r="DS64" s="151"/>
    </row>
    <row r="65" spans="1:123" ht="6" customHeight="1" x14ac:dyDescent="0.35">
      <c r="A65" s="183"/>
      <c r="B65" s="184"/>
      <c r="C65" s="184"/>
      <c r="D65" s="185"/>
      <c r="E65" s="166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79"/>
      <c r="AN65" s="180"/>
      <c r="AO65" s="182"/>
      <c r="AP65" s="162"/>
      <c r="AQ65" s="162"/>
      <c r="AR65" s="162"/>
      <c r="AS65" s="163"/>
      <c r="AU65" s="79" t="s">
        <v>192</v>
      </c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1"/>
      <c r="CE65" s="8"/>
      <c r="CF65" s="158" t="s">
        <v>41</v>
      </c>
      <c r="CG65" s="158"/>
      <c r="CH65" s="158"/>
      <c r="CI65" s="158"/>
      <c r="CJ65" s="158"/>
      <c r="CK65" s="158"/>
      <c r="CL65" s="158"/>
      <c r="CM65" s="152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  <c r="DG65" s="153"/>
      <c r="DH65" s="153"/>
      <c r="DI65" s="153"/>
      <c r="DJ65" s="153"/>
      <c r="DK65" s="153"/>
      <c r="DL65" s="153"/>
      <c r="DM65" s="153"/>
      <c r="DN65" s="153"/>
      <c r="DO65" s="153"/>
      <c r="DP65" s="153"/>
      <c r="DQ65" s="153"/>
      <c r="DR65" s="153"/>
      <c r="DS65" s="154"/>
    </row>
    <row r="66" spans="1:123" ht="6" customHeight="1" x14ac:dyDescent="0.35">
      <c r="A66" s="186"/>
      <c r="B66" s="187"/>
      <c r="C66" s="187"/>
      <c r="D66" s="188"/>
      <c r="E66" s="168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70"/>
      <c r="AN66" s="171"/>
      <c r="AO66" s="9"/>
      <c r="AP66" s="164"/>
      <c r="AQ66" s="164"/>
      <c r="AR66" s="164"/>
      <c r="AS66" s="165"/>
      <c r="AU66" s="82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4"/>
      <c r="CE66" s="8"/>
      <c r="CF66" s="159"/>
      <c r="CG66" s="159"/>
      <c r="CH66" s="159"/>
      <c r="CI66" s="159"/>
      <c r="CJ66" s="159"/>
      <c r="CK66" s="159"/>
      <c r="CL66" s="159"/>
      <c r="CM66" s="155"/>
      <c r="CN66" s="156"/>
      <c r="CO66" s="156"/>
      <c r="CP66" s="156"/>
      <c r="CQ66" s="156"/>
      <c r="CR66" s="156"/>
      <c r="CS66" s="156"/>
      <c r="CT66" s="156"/>
      <c r="CU66" s="156"/>
      <c r="CV66" s="156"/>
      <c r="CW66" s="156"/>
      <c r="CX66" s="156"/>
      <c r="CY66" s="156"/>
      <c r="CZ66" s="156"/>
      <c r="DA66" s="156"/>
      <c r="DB66" s="156"/>
      <c r="DC66" s="156"/>
      <c r="DD66" s="156"/>
      <c r="DE66" s="156"/>
      <c r="DF66" s="156"/>
      <c r="DG66" s="156"/>
      <c r="DH66" s="156"/>
      <c r="DI66" s="156"/>
      <c r="DJ66" s="156"/>
      <c r="DK66" s="156"/>
      <c r="DL66" s="156"/>
      <c r="DM66" s="156"/>
      <c r="DN66" s="156"/>
      <c r="DO66" s="156"/>
      <c r="DP66" s="156"/>
      <c r="DQ66" s="156"/>
      <c r="DR66" s="156"/>
      <c r="DS66" s="157"/>
    </row>
    <row r="67" spans="1:123" ht="6" customHeight="1" x14ac:dyDescent="0.35">
      <c r="A67" s="213" t="s">
        <v>21</v>
      </c>
      <c r="B67" s="214"/>
      <c r="C67" s="214"/>
      <c r="D67" s="214"/>
      <c r="E67" s="205" t="s">
        <v>202</v>
      </c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307" t="str">
        <f>_xlfn.XLOOKUP(E69,'Skill Calcs'!$F$2:$F$15,'Skill Calcs'!$G$2:$G$15,"",0,1)</f>
        <v>Mind</v>
      </c>
      <c r="AC67" s="307"/>
      <c r="AD67" s="307"/>
      <c r="AE67" s="307"/>
      <c r="AF67" s="307"/>
      <c r="AG67" s="307"/>
      <c r="AH67" s="189">
        <v>3</v>
      </c>
      <c r="AI67" s="190"/>
      <c r="AJ67" s="190"/>
      <c r="AK67" s="191"/>
      <c r="AL67" s="189">
        <f>IF(_CTR_7&gt;0,_CTR_7,"")</f>
        <v>1</v>
      </c>
      <c r="AM67" s="190"/>
      <c r="AN67" s="190"/>
      <c r="AO67" s="191"/>
      <c r="AP67" s="189"/>
      <c r="AQ67" s="190"/>
      <c r="AR67" s="190"/>
      <c r="AS67" s="197"/>
      <c r="AU67" s="79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1"/>
      <c r="CE67" s="8"/>
      <c r="CF67" s="152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4"/>
      <c r="CX67" s="150"/>
      <c r="CY67" s="150"/>
      <c r="CZ67" s="150"/>
      <c r="DA67" s="150"/>
      <c r="DB67" s="150"/>
      <c r="DC67" s="150"/>
      <c r="DD67" s="150"/>
      <c r="DE67" s="150"/>
      <c r="DF67" s="150"/>
      <c r="DG67" s="150"/>
      <c r="DH67" s="150"/>
      <c r="DI67" s="150"/>
      <c r="DJ67" s="150"/>
      <c r="DK67" s="150"/>
      <c r="DL67" s="152"/>
      <c r="DM67" s="153"/>
      <c r="DN67" s="153"/>
      <c r="DO67" s="154"/>
      <c r="DP67" s="150"/>
      <c r="DQ67" s="150"/>
      <c r="DR67" s="150"/>
      <c r="DS67" s="150"/>
    </row>
    <row r="68" spans="1:123" ht="6" customHeight="1" x14ac:dyDescent="0.35">
      <c r="A68" s="199"/>
      <c r="B68" s="200"/>
      <c r="C68" s="200"/>
      <c r="D68" s="200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307"/>
      <c r="AC68" s="307"/>
      <c r="AD68" s="307"/>
      <c r="AE68" s="307"/>
      <c r="AF68" s="307"/>
      <c r="AG68" s="307"/>
      <c r="AH68" s="192"/>
      <c r="AI68" s="162"/>
      <c r="AJ68" s="162"/>
      <c r="AK68" s="193"/>
      <c r="AL68" s="192"/>
      <c r="AM68" s="162"/>
      <c r="AN68" s="162"/>
      <c r="AO68" s="193"/>
      <c r="AP68" s="192"/>
      <c r="AQ68" s="162"/>
      <c r="AR68" s="162"/>
      <c r="AS68" s="163"/>
      <c r="AU68" s="82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4"/>
      <c r="CE68" s="8"/>
      <c r="CF68" s="155"/>
      <c r="CG68" s="156"/>
      <c r="CH68" s="156"/>
      <c r="CI68" s="156"/>
      <c r="CJ68" s="156"/>
      <c r="CK68" s="156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56"/>
      <c r="CW68" s="157"/>
      <c r="CX68" s="151"/>
      <c r="CY68" s="151"/>
      <c r="CZ68" s="151"/>
      <c r="DA68" s="151"/>
      <c r="DB68" s="151"/>
      <c r="DC68" s="151"/>
      <c r="DD68" s="151"/>
      <c r="DE68" s="151"/>
      <c r="DF68" s="151"/>
      <c r="DG68" s="151"/>
      <c r="DH68" s="151"/>
      <c r="DI68" s="151"/>
      <c r="DJ68" s="151"/>
      <c r="DK68" s="151"/>
      <c r="DL68" s="155"/>
      <c r="DM68" s="156"/>
      <c r="DN68" s="156"/>
      <c r="DO68" s="157"/>
      <c r="DP68" s="151"/>
      <c r="DQ68" s="151"/>
      <c r="DR68" s="151"/>
      <c r="DS68" s="151"/>
    </row>
    <row r="69" spans="1:123" ht="6" customHeight="1" x14ac:dyDescent="0.35">
      <c r="A69" s="199" t="s">
        <v>23</v>
      </c>
      <c r="B69" s="200"/>
      <c r="C69" s="200"/>
      <c r="D69" s="200"/>
      <c r="E69" s="205" t="s">
        <v>51</v>
      </c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307"/>
      <c r="AC69" s="307"/>
      <c r="AD69" s="307"/>
      <c r="AE69" s="307"/>
      <c r="AF69" s="307"/>
      <c r="AG69" s="307"/>
      <c r="AH69" s="194"/>
      <c r="AI69" s="195"/>
      <c r="AJ69" s="195"/>
      <c r="AK69" s="196"/>
      <c r="AL69" s="194"/>
      <c r="AM69" s="195"/>
      <c r="AN69" s="195"/>
      <c r="AO69" s="196"/>
      <c r="AP69" s="194"/>
      <c r="AQ69" s="195"/>
      <c r="AR69" s="195"/>
      <c r="AS69" s="198"/>
      <c r="AU69" s="79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1"/>
      <c r="CE69" s="8"/>
      <c r="CF69" s="158" t="s">
        <v>41</v>
      </c>
      <c r="CG69" s="158"/>
      <c r="CH69" s="158"/>
      <c r="CI69" s="158"/>
      <c r="CJ69" s="158"/>
      <c r="CK69" s="158"/>
      <c r="CL69" s="158"/>
      <c r="CM69" s="152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  <c r="DG69" s="153"/>
      <c r="DH69" s="153"/>
      <c r="DI69" s="153"/>
      <c r="DJ69" s="153"/>
      <c r="DK69" s="153"/>
      <c r="DL69" s="153"/>
      <c r="DM69" s="153"/>
      <c r="DN69" s="153"/>
      <c r="DO69" s="153"/>
      <c r="DP69" s="153"/>
      <c r="DQ69" s="153"/>
      <c r="DR69" s="153"/>
      <c r="DS69" s="154"/>
    </row>
    <row r="70" spans="1:123" ht="6" customHeight="1" x14ac:dyDescent="0.35">
      <c r="A70" s="199"/>
      <c r="B70" s="200"/>
      <c r="C70" s="200"/>
      <c r="D70" s="200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307"/>
      <c r="AC70" s="307"/>
      <c r="AD70" s="307"/>
      <c r="AE70" s="307"/>
      <c r="AF70" s="307"/>
      <c r="AG70" s="307"/>
      <c r="AH70" s="170" t="s">
        <v>33</v>
      </c>
      <c r="AI70" s="171"/>
      <c r="AJ70" s="203"/>
      <c r="AK70" s="160"/>
      <c r="AL70" s="160"/>
      <c r="AM70" s="204"/>
      <c r="AN70" s="170" t="s">
        <v>25</v>
      </c>
      <c r="AO70" s="171"/>
      <c r="AP70" s="203"/>
      <c r="AQ70" s="160"/>
      <c r="AR70" s="160"/>
      <c r="AS70" s="161"/>
      <c r="AU70" s="82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4"/>
      <c r="CE70" s="8"/>
      <c r="CF70" s="159"/>
      <c r="CG70" s="159"/>
      <c r="CH70" s="159"/>
      <c r="CI70" s="159"/>
      <c r="CJ70" s="159"/>
      <c r="CK70" s="159"/>
      <c r="CL70" s="159"/>
      <c r="CM70" s="155"/>
      <c r="CN70" s="156"/>
      <c r="CO70" s="156"/>
      <c r="CP70" s="156"/>
      <c r="CQ70" s="156"/>
      <c r="CR70" s="156"/>
      <c r="CS70" s="156"/>
      <c r="CT70" s="156"/>
      <c r="CU70" s="156"/>
      <c r="CV70" s="156"/>
      <c r="CW70" s="156"/>
      <c r="CX70" s="156"/>
      <c r="CY70" s="156"/>
      <c r="CZ70" s="156"/>
      <c r="DA70" s="156"/>
      <c r="DB70" s="156"/>
      <c r="DC70" s="156"/>
      <c r="DD70" s="156"/>
      <c r="DE70" s="156"/>
      <c r="DF70" s="156"/>
      <c r="DG70" s="156"/>
      <c r="DH70" s="156"/>
      <c r="DI70" s="156"/>
      <c r="DJ70" s="156"/>
      <c r="DK70" s="156"/>
      <c r="DL70" s="156"/>
      <c r="DM70" s="156"/>
      <c r="DN70" s="156"/>
      <c r="DO70" s="156"/>
      <c r="DP70" s="156"/>
      <c r="DQ70" s="156"/>
      <c r="DR70" s="156"/>
      <c r="DS70" s="157"/>
    </row>
    <row r="71" spans="1:123" ht="6" customHeight="1" x14ac:dyDescent="0.35">
      <c r="A71" s="183" t="s">
        <v>62</v>
      </c>
      <c r="B71" s="184"/>
      <c r="C71" s="184"/>
      <c r="D71" s="185"/>
      <c r="E71" s="166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209"/>
      <c r="AH71" s="181"/>
      <c r="AI71" s="201"/>
      <c r="AJ71" s="192"/>
      <c r="AK71" s="162"/>
      <c r="AL71" s="162"/>
      <c r="AM71" s="193"/>
      <c r="AN71" s="181"/>
      <c r="AO71" s="201"/>
      <c r="AP71" s="192"/>
      <c r="AQ71" s="162"/>
      <c r="AR71" s="162"/>
      <c r="AS71" s="163"/>
      <c r="AU71" s="79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1"/>
      <c r="CE71" s="8"/>
      <c r="CF71" s="152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4"/>
      <c r="CX71" s="150"/>
      <c r="CY71" s="150"/>
      <c r="CZ71" s="150"/>
      <c r="DA71" s="150"/>
      <c r="DB71" s="150"/>
      <c r="DC71" s="150"/>
      <c r="DD71" s="150"/>
      <c r="DE71" s="150"/>
      <c r="DF71" s="150"/>
      <c r="DG71" s="150"/>
      <c r="DH71" s="150"/>
      <c r="DI71" s="150"/>
      <c r="DJ71" s="150"/>
      <c r="DK71" s="150"/>
      <c r="DL71" s="152"/>
      <c r="DM71" s="153"/>
      <c r="DN71" s="153"/>
      <c r="DO71" s="154"/>
      <c r="DP71" s="150"/>
      <c r="DQ71" s="150"/>
      <c r="DR71" s="150"/>
      <c r="DS71" s="150"/>
    </row>
    <row r="72" spans="1:123" ht="6" customHeight="1" x14ac:dyDescent="0.35">
      <c r="A72" s="183"/>
      <c r="B72" s="184"/>
      <c r="C72" s="184"/>
      <c r="D72" s="185"/>
      <c r="E72" s="173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210"/>
      <c r="AH72" s="182"/>
      <c r="AI72" s="202"/>
      <c r="AJ72" s="194"/>
      <c r="AK72" s="195"/>
      <c r="AL72" s="195"/>
      <c r="AM72" s="196"/>
      <c r="AN72" s="182"/>
      <c r="AO72" s="202"/>
      <c r="AP72" s="194"/>
      <c r="AQ72" s="195"/>
      <c r="AR72" s="195"/>
      <c r="AS72" s="198"/>
      <c r="AU72" s="82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4"/>
      <c r="CE72" s="8"/>
      <c r="CF72" s="155"/>
      <c r="CG72" s="156"/>
      <c r="CH72" s="156"/>
      <c r="CI72" s="156"/>
      <c r="CJ72" s="156"/>
      <c r="CK72" s="156"/>
      <c r="CL72" s="156"/>
      <c r="CM72" s="156"/>
      <c r="CN72" s="156"/>
      <c r="CO72" s="156"/>
      <c r="CP72" s="156"/>
      <c r="CQ72" s="156"/>
      <c r="CR72" s="156"/>
      <c r="CS72" s="156"/>
      <c r="CT72" s="156"/>
      <c r="CU72" s="156"/>
      <c r="CV72" s="156"/>
      <c r="CW72" s="157"/>
      <c r="CX72" s="151"/>
      <c r="CY72" s="151"/>
      <c r="CZ72" s="151"/>
      <c r="DA72" s="151"/>
      <c r="DB72" s="151"/>
      <c r="DC72" s="151"/>
      <c r="DD72" s="151"/>
      <c r="DE72" s="151"/>
      <c r="DF72" s="151"/>
      <c r="DG72" s="151"/>
      <c r="DH72" s="151"/>
      <c r="DI72" s="151"/>
      <c r="DJ72" s="151"/>
      <c r="DK72" s="151"/>
      <c r="DL72" s="155"/>
      <c r="DM72" s="156"/>
      <c r="DN72" s="156"/>
      <c r="DO72" s="157"/>
      <c r="DP72" s="151"/>
      <c r="DQ72" s="151"/>
      <c r="DR72" s="151"/>
      <c r="DS72" s="151"/>
    </row>
    <row r="73" spans="1:123" ht="6" customHeight="1" x14ac:dyDescent="0.35">
      <c r="A73" s="183"/>
      <c r="B73" s="184"/>
      <c r="C73" s="184"/>
      <c r="D73" s="185"/>
      <c r="E73" s="166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75" t="s">
        <v>26</v>
      </c>
      <c r="AN73" s="176"/>
      <c r="AO73" s="170"/>
      <c r="AP73" s="160">
        <f>AL67-AJ70</f>
        <v>1</v>
      </c>
      <c r="AQ73" s="160"/>
      <c r="AR73" s="160"/>
      <c r="AS73" s="161"/>
      <c r="CE73" s="8"/>
      <c r="CF73" s="158" t="s">
        <v>41</v>
      </c>
      <c r="CG73" s="158"/>
      <c r="CH73" s="158"/>
      <c r="CI73" s="158"/>
      <c r="CJ73" s="158"/>
      <c r="CK73" s="158"/>
      <c r="CL73" s="158"/>
      <c r="CM73" s="152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  <c r="DG73" s="153"/>
      <c r="DH73" s="153"/>
      <c r="DI73" s="153"/>
      <c r="DJ73" s="153"/>
      <c r="DK73" s="153"/>
      <c r="DL73" s="153"/>
      <c r="DM73" s="153"/>
      <c r="DN73" s="153"/>
      <c r="DO73" s="153"/>
      <c r="DP73" s="153"/>
      <c r="DQ73" s="153"/>
      <c r="DR73" s="153"/>
      <c r="DS73" s="154"/>
    </row>
    <row r="74" spans="1:123" ht="6" customHeight="1" x14ac:dyDescent="0.35">
      <c r="A74" s="183"/>
      <c r="B74" s="184"/>
      <c r="C74" s="184"/>
      <c r="D74" s="185"/>
      <c r="E74" s="173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  <c r="AF74" s="174"/>
      <c r="AG74" s="174"/>
      <c r="AH74" s="174"/>
      <c r="AI74" s="174"/>
      <c r="AJ74" s="174"/>
      <c r="AK74" s="174"/>
      <c r="AL74" s="174"/>
      <c r="AM74" s="177"/>
      <c r="AN74" s="178"/>
      <c r="AO74" s="181"/>
      <c r="AP74" s="162"/>
      <c r="AQ74" s="162"/>
      <c r="AR74" s="162"/>
      <c r="AS74" s="163"/>
      <c r="AU74" s="85" t="s">
        <v>28</v>
      </c>
      <c r="AV74" s="85"/>
      <c r="AW74" s="85"/>
      <c r="AX74" s="85"/>
      <c r="AY74" s="85"/>
      <c r="AZ74" s="85"/>
      <c r="BA74" s="85"/>
      <c r="BB74" s="88" t="s">
        <v>30</v>
      </c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 t="s">
        <v>119</v>
      </c>
      <c r="BQ74" s="88"/>
      <c r="BR74" s="88"/>
      <c r="BS74" s="88"/>
      <c r="BT74" s="88"/>
      <c r="BU74" s="88" t="s">
        <v>120</v>
      </c>
      <c r="BV74" s="88"/>
      <c r="BW74" s="88"/>
      <c r="BX74" s="88"/>
      <c r="BY74" s="88"/>
      <c r="BZ74" s="85" t="s">
        <v>29</v>
      </c>
      <c r="CA74" s="85"/>
      <c r="CB74" s="85"/>
      <c r="CC74" s="85"/>
      <c r="CD74" s="85"/>
      <c r="CE74" s="8"/>
      <c r="CF74" s="159"/>
      <c r="CG74" s="159"/>
      <c r="CH74" s="159"/>
      <c r="CI74" s="159"/>
      <c r="CJ74" s="159"/>
      <c r="CK74" s="159"/>
      <c r="CL74" s="159"/>
      <c r="CM74" s="155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6"/>
      <c r="CY74" s="156"/>
      <c r="CZ74" s="156"/>
      <c r="DA74" s="156"/>
      <c r="DB74" s="156"/>
      <c r="DC74" s="156"/>
      <c r="DD74" s="156"/>
      <c r="DE74" s="156"/>
      <c r="DF74" s="156"/>
      <c r="DG74" s="156"/>
      <c r="DH74" s="156"/>
      <c r="DI74" s="156"/>
      <c r="DJ74" s="156"/>
      <c r="DK74" s="156"/>
      <c r="DL74" s="156"/>
      <c r="DM74" s="156"/>
      <c r="DN74" s="156"/>
      <c r="DO74" s="156"/>
      <c r="DP74" s="156"/>
      <c r="DQ74" s="156"/>
      <c r="DR74" s="156"/>
      <c r="DS74" s="157"/>
    </row>
    <row r="75" spans="1:123" ht="6" customHeight="1" x14ac:dyDescent="0.35">
      <c r="A75" s="183"/>
      <c r="B75" s="184"/>
      <c r="C75" s="184"/>
      <c r="D75" s="185"/>
      <c r="E75" s="166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79"/>
      <c r="AN75" s="180"/>
      <c r="AO75" s="182"/>
      <c r="AP75" s="162"/>
      <c r="AQ75" s="162"/>
      <c r="AR75" s="162"/>
      <c r="AS75" s="163"/>
      <c r="AU75" s="87"/>
      <c r="AV75" s="87"/>
      <c r="AW75" s="87"/>
      <c r="AX75" s="87"/>
      <c r="AY75" s="87"/>
      <c r="AZ75" s="87"/>
      <c r="BA75" s="87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5"/>
      <c r="CA75" s="85"/>
      <c r="CB75" s="85"/>
      <c r="CC75" s="85"/>
      <c r="CD75" s="85"/>
      <c r="CE75" s="8"/>
      <c r="CF75" s="152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4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2"/>
      <c r="DM75" s="153"/>
      <c r="DN75" s="153"/>
      <c r="DO75" s="154"/>
      <c r="DP75" s="150"/>
      <c r="DQ75" s="150"/>
      <c r="DR75" s="150"/>
      <c r="DS75" s="150"/>
    </row>
    <row r="76" spans="1:123" ht="6" customHeight="1" x14ac:dyDescent="0.35">
      <c r="A76" s="186"/>
      <c r="B76" s="187"/>
      <c r="C76" s="187"/>
      <c r="D76" s="188"/>
      <c r="E76" s="168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70"/>
      <c r="AN76" s="171"/>
      <c r="AO76" s="9"/>
      <c r="AP76" s="164"/>
      <c r="AQ76" s="164"/>
      <c r="AR76" s="164"/>
      <c r="AS76" s="165"/>
      <c r="AU76" s="300" t="s">
        <v>67</v>
      </c>
      <c r="AV76" s="301"/>
      <c r="AW76" s="301"/>
      <c r="AX76" s="301"/>
      <c r="AY76" s="301"/>
      <c r="AZ76" s="301"/>
      <c r="BA76" s="301"/>
      <c r="BB76" s="301"/>
      <c r="BC76" s="301"/>
      <c r="BD76" s="301"/>
      <c r="BE76" s="301"/>
      <c r="BF76" s="301"/>
      <c r="BG76" s="301"/>
      <c r="BH76" s="301"/>
      <c r="BI76" s="301"/>
      <c r="BJ76" s="301"/>
      <c r="BK76" s="301"/>
      <c r="BL76" s="301"/>
      <c r="BM76" s="301"/>
      <c r="BN76" s="301"/>
      <c r="BO76" s="302"/>
      <c r="BP76" s="78">
        <v>3</v>
      </c>
      <c r="BQ76" s="78"/>
      <c r="BR76" s="78"/>
      <c r="BS76" s="78"/>
      <c r="BT76" s="78"/>
      <c r="BU76" s="78">
        <v>2</v>
      </c>
      <c r="BV76" s="78"/>
      <c r="BW76" s="78"/>
      <c r="BX76" s="78"/>
      <c r="BY76" s="78"/>
      <c r="BZ76" s="73"/>
      <c r="CA76" s="73"/>
      <c r="CB76" s="73"/>
      <c r="CC76" s="73"/>
      <c r="CD76" s="74"/>
      <c r="CE76" s="8"/>
      <c r="CF76" s="155"/>
      <c r="CG76" s="156"/>
      <c r="CH76" s="156"/>
      <c r="CI76" s="156"/>
      <c r="CJ76" s="156"/>
      <c r="CK76" s="156"/>
      <c r="CL76" s="156"/>
      <c r="CM76" s="156"/>
      <c r="CN76" s="156"/>
      <c r="CO76" s="156"/>
      <c r="CP76" s="156"/>
      <c r="CQ76" s="156"/>
      <c r="CR76" s="156"/>
      <c r="CS76" s="156"/>
      <c r="CT76" s="156"/>
      <c r="CU76" s="156"/>
      <c r="CV76" s="156"/>
      <c r="CW76" s="157"/>
      <c r="CX76" s="151"/>
      <c r="CY76" s="151"/>
      <c r="CZ76" s="151"/>
      <c r="DA76" s="151"/>
      <c r="DB76" s="151"/>
      <c r="DC76" s="151"/>
      <c r="DD76" s="151"/>
      <c r="DE76" s="151"/>
      <c r="DF76" s="151"/>
      <c r="DG76" s="151"/>
      <c r="DH76" s="151"/>
      <c r="DI76" s="151"/>
      <c r="DJ76" s="151"/>
      <c r="DK76" s="151"/>
      <c r="DL76" s="155"/>
      <c r="DM76" s="156"/>
      <c r="DN76" s="156"/>
      <c r="DO76" s="157"/>
      <c r="DP76" s="151"/>
      <c r="DQ76" s="151"/>
      <c r="DR76" s="151"/>
      <c r="DS76" s="151"/>
    </row>
    <row r="77" spans="1:123" ht="6" customHeight="1" x14ac:dyDescent="0.35">
      <c r="A77" s="213" t="s">
        <v>21</v>
      </c>
      <c r="B77" s="214"/>
      <c r="C77" s="214"/>
      <c r="D77" s="214"/>
      <c r="E77" s="205" t="s">
        <v>203</v>
      </c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307" t="str">
        <f>_xlfn.XLOOKUP(E79,'Skill Calcs'!$F$2:$F$15,'Skill Calcs'!$G$2:$G$15,"",0,1)</f>
        <v>Body</v>
      </c>
      <c r="AC77" s="307"/>
      <c r="AD77" s="307"/>
      <c r="AE77" s="307"/>
      <c r="AF77" s="307"/>
      <c r="AG77" s="307"/>
      <c r="AH77" s="189">
        <v>3</v>
      </c>
      <c r="AI77" s="190"/>
      <c r="AJ77" s="190"/>
      <c r="AK77" s="191"/>
      <c r="AL77" s="189">
        <f>IF(_CTR_8&gt;0,_CTR_8,"")</f>
        <v>2</v>
      </c>
      <c r="AM77" s="190"/>
      <c r="AN77" s="190"/>
      <c r="AO77" s="191"/>
      <c r="AP77" s="189">
        <v>8</v>
      </c>
      <c r="AQ77" s="190"/>
      <c r="AR77" s="190"/>
      <c r="AS77" s="197"/>
      <c r="AU77" s="303"/>
      <c r="AV77" s="304"/>
      <c r="AW77" s="304"/>
      <c r="AX77" s="304"/>
      <c r="AY77" s="304"/>
      <c r="AZ77" s="304"/>
      <c r="BA77" s="304"/>
      <c r="BB77" s="304"/>
      <c r="BC77" s="304"/>
      <c r="BD77" s="304"/>
      <c r="BE77" s="304"/>
      <c r="BF77" s="304"/>
      <c r="BG77" s="304"/>
      <c r="BH77" s="304"/>
      <c r="BI77" s="304"/>
      <c r="BJ77" s="304"/>
      <c r="BK77" s="304"/>
      <c r="BL77" s="304"/>
      <c r="BM77" s="304"/>
      <c r="BN77" s="304"/>
      <c r="BO77" s="305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6"/>
      <c r="CA77" s="76"/>
      <c r="CB77" s="76"/>
      <c r="CC77" s="76"/>
      <c r="CD77" s="77"/>
      <c r="CE77" s="8"/>
      <c r="CF77" s="158" t="s">
        <v>41</v>
      </c>
      <c r="CG77" s="158"/>
      <c r="CH77" s="158"/>
      <c r="CI77" s="158"/>
      <c r="CJ77" s="158"/>
      <c r="CK77" s="158"/>
      <c r="CL77" s="158"/>
      <c r="CM77" s="152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  <c r="DG77" s="153"/>
      <c r="DH77" s="153"/>
      <c r="DI77" s="153"/>
      <c r="DJ77" s="153"/>
      <c r="DK77" s="153"/>
      <c r="DL77" s="153"/>
      <c r="DM77" s="153"/>
      <c r="DN77" s="153"/>
      <c r="DO77" s="153"/>
      <c r="DP77" s="153"/>
      <c r="DQ77" s="153"/>
      <c r="DR77" s="153"/>
      <c r="DS77" s="154"/>
    </row>
    <row r="78" spans="1:123" ht="6" customHeight="1" x14ac:dyDescent="0.35">
      <c r="A78" s="199"/>
      <c r="B78" s="200"/>
      <c r="C78" s="200"/>
      <c r="D78" s="200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307"/>
      <c r="AC78" s="307"/>
      <c r="AD78" s="307"/>
      <c r="AE78" s="307"/>
      <c r="AF78" s="307"/>
      <c r="AG78" s="307"/>
      <c r="AH78" s="192"/>
      <c r="AI78" s="162"/>
      <c r="AJ78" s="162"/>
      <c r="AK78" s="193"/>
      <c r="AL78" s="192"/>
      <c r="AM78" s="162"/>
      <c r="AN78" s="162"/>
      <c r="AO78" s="193"/>
      <c r="AP78" s="192"/>
      <c r="AQ78" s="162"/>
      <c r="AR78" s="162"/>
      <c r="AS78" s="163"/>
      <c r="AU78" s="300" t="s">
        <v>68</v>
      </c>
      <c r="AV78" s="301"/>
      <c r="AW78" s="301"/>
      <c r="AX78" s="301"/>
      <c r="AY78" s="301"/>
      <c r="AZ78" s="301"/>
      <c r="BA78" s="301"/>
      <c r="BB78" s="301"/>
      <c r="BC78" s="301"/>
      <c r="BD78" s="301"/>
      <c r="BE78" s="301"/>
      <c r="BF78" s="301"/>
      <c r="BG78" s="301"/>
      <c r="BH78" s="301"/>
      <c r="BI78" s="301"/>
      <c r="BJ78" s="301"/>
      <c r="BK78" s="301"/>
      <c r="BL78" s="301"/>
      <c r="BM78" s="301"/>
      <c r="BN78" s="301"/>
      <c r="BO78" s="302"/>
      <c r="BP78" s="78">
        <v>1</v>
      </c>
      <c r="BQ78" s="78"/>
      <c r="BR78" s="78"/>
      <c r="BS78" s="78"/>
      <c r="BT78" s="78"/>
      <c r="BU78" s="78">
        <v>0</v>
      </c>
      <c r="BV78" s="78"/>
      <c r="BW78" s="78"/>
      <c r="BX78" s="78"/>
      <c r="BY78" s="78"/>
      <c r="BZ78" s="72"/>
      <c r="CA78" s="73"/>
      <c r="CB78" s="73"/>
      <c r="CC78" s="73"/>
      <c r="CD78" s="74"/>
      <c r="CE78" s="8"/>
      <c r="CF78" s="159"/>
      <c r="CG78" s="159"/>
      <c r="CH78" s="159"/>
      <c r="CI78" s="159"/>
      <c r="CJ78" s="159"/>
      <c r="CK78" s="159"/>
      <c r="CL78" s="159"/>
      <c r="CM78" s="155"/>
      <c r="CN78" s="156"/>
      <c r="CO78" s="156"/>
      <c r="CP78" s="156"/>
      <c r="CQ78" s="156"/>
      <c r="CR78" s="156"/>
      <c r="CS78" s="156"/>
      <c r="CT78" s="156"/>
      <c r="CU78" s="156"/>
      <c r="CV78" s="156"/>
      <c r="CW78" s="156"/>
      <c r="CX78" s="156"/>
      <c r="CY78" s="156"/>
      <c r="CZ78" s="156"/>
      <c r="DA78" s="156"/>
      <c r="DB78" s="156"/>
      <c r="DC78" s="156"/>
      <c r="DD78" s="156"/>
      <c r="DE78" s="156"/>
      <c r="DF78" s="156"/>
      <c r="DG78" s="156"/>
      <c r="DH78" s="156"/>
      <c r="DI78" s="156"/>
      <c r="DJ78" s="156"/>
      <c r="DK78" s="156"/>
      <c r="DL78" s="156"/>
      <c r="DM78" s="156"/>
      <c r="DN78" s="156"/>
      <c r="DO78" s="156"/>
      <c r="DP78" s="156"/>
      <c r="DQ78" s="156"/>
      <c r="DR78" s="156"/>
      <c r="DS78" s="157"/>
    </row>
    <row r="79" spans="1:123" ht="6" customHeight="1" x14ac:dyDescent="0.35">
      <c r="A79" s="199" t="s">
        <v>23</v>
      </c>
      <c r="B79" s="200"/>
      <c r="C79" s="200"/>
      <c r="D79" s="200"/>
      <c r="E79" s="205" t="s">
        <v>59</v>
      </c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307"/>
      <c r="AC79" s="307"/>
      <c r="AD79" s="307"/>
      <c r="AE79" s="307"/>
      <c r="AF79" s="307"/>
      <c r="AG79" s="307"/>
      <c r="AH79" s="194"/>
      <c r="AI79" s="195"/>
      <c r="AJ79" s="195"/>
      <c r="AK79" s="196"/>
      <c r="AL79" s="194"/>
      <c r="AM79" s="195"/>
      <c r="AN79" s="195"/>
      <c r="AO79" s="196"/>
      <c r="AP79" s="194"/>
      <c r="AQ79" s="195"/>
      <c r="AR79" s="195"/>
      <c r="AS79" s="198"/>
      <c r="AU79" s="303"/>
      <c r="AV79" s="304"/>
      <c r="AW79" s="304"/>
      <c r="AX79" s="304"/>
      <c r="AY79" s="304"/>
      <c r="AZ79" s="304"/>
      <c r="BA79" s="304"/>
      <c r="BB79" s="304"/>
      <c r="BC79" s="304"/>
      <c r="BD79" s="304"/>
      <c r="BE79" s="304"/>
      <c r="BF79" s="304"/>
      <c r="BG79" s="304"/>
      <c r="BH79" s="304"/>
      <c r="BI79" s="304"/>
      <c r="BJ79" s="304"/>
      <c r="BK79" s="304"/>
      <c r="BL79" s="304"/>
      <c r="BM79" s="304"/>
      <c r="BN79" s="304"/>
      <c r="BO79" s="305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5"/>
      <c r="CA79" s="76"/>
      <c r="CB79" s="76"/>
      <c r="CC79" s="76"/>
      <c r="CD79" s="77"/>
      <c r="CE79" s="8"/>
      <c r="CF79" s="152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4"/>
      <c r="CX79" s="150"/>
      <c r="CY79" s="150"/>
      <c r="CZ79" s="150"/>
      <c r="DA79" s="150"/>
      <c r="DB79" s="150"/>
      <c r="DC79" s="150"/>
      <c r="DD79" s="150"/>
      <c r="DE79" s="150"/>
      <c r="DF79" s="150"/>
      <c r="DG79" s="150"/>
      <c r="DH79" s="150"/>
      <c r="DI79" s="150"/>
      <c r="DJ79" s="150"/>
      <c r="DK79" s="150"/>
      <c r="DL79" s="152"/>
      <c r="DM79" s="153"/>
      <c r="DN79" s="153"/>
      <c r="DO79" s="154"/>
      <c r="DP79" s="150"/>
      <c r="DQ79" s="150"/>
      <c r="DR79" s="150"/>
      <c r="DS79" s="150"/>
    </row>
    <row r="80" spans="1:123" ht="6" customHeight="1" x14ac:dyDescent="0.35">
      <c r="A80" s="199"/>
      <c r="B80" s="200"/>
      <c r="C80" s="200"/>
      <c r="D80" s="200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307"/>
      <c r="AC80" s="307"/>
      <c r="AD80" s="307"/>
      <c r="AE80" s="307"/>
      <c r="AF80" s="307"/>
      <c r="AG80" s="307"/>
      <c r="AH80" s="170" t="s">
        <v>33</v>
      </c>
      <c r="AI80" s="171"/>
      <c r="AJ80" s="203"/>
      <c r="AK80" s="160"/>
      <c r="AL80" s="160"/>
      <c r="AM80" s="204"/>
      <c r="AN80" s="170" t="s">
        <v>25</v>
      </c>
      <c r="AO80" s="171"/>
      <c r="AP80" s="203"/>
      <c r="AQ80" s="160"/>
      <c r="AR80" s="160"/>
      <c r="AS80" s="161"/>
      <c r="AU80" s="300" t="s">
        <v>69</v>
      </c>
      <c r="AV80" s="301"/>
      <c r="AW80" s="301"/>
      <c r="AX80" s="301"/>
      <c r="AY80" s="301"/>
      <c r="AZ80" s="301"/>
      <c r="BA80" s="301"/>
      <c r="BB80" s="301"/>
      <c r="BC80" s="301"/>
      <c r="BD80" s="301"/>
      <c r="BE80" s="301"/>
      <c r="BF80" s="301"/>
      <c r="BG80" s="301"/>
      <c r="BH80" s="301"/>
      <c r="BI80" s="301"/>
      <c r="BJ80" s="301"/>
      <c r="BK80" s="301"/>
      <c r="BL80" s="301"/>
      <c r="BM80" s="301"/>
      <c r="BN80" s="301"/>
      <c r="BO80" s="302"/>
      <c r="BP80" s="78">
        <v>4</v>
      </c>
      <c r="BQ80" s="78"/>
      <c r="BR80" s="78"/>
      <c r="BS80" s="78"/>
      <c r="BT80" s="78"/>
      <c r="BU80" s="78">
        <v>3</v>
      </c>
      <c r="BV80" s="78"/>
      <c r="BW80" s="78"/>
      <c r="BX80" s="78"/>
      <c r="BY80" s="78"/>
      <c r="BZ80" s="72"/>
      <c r="CA80" s="73"/>
      <c r="CB80" s="73"/>
      <c r="CC80" s="73"/>
      <c r="CD80" s="74"/>
      <c r="CE80" s="8"/>
      <c r="CF80" s="155"/>
      <c r="CG80" s="156"/>
      <c r="CH80" s="156"/>
      <c r="CI80" s="156"/>
      <c r="CJ80" s="156"/>
      <c r="CK80" s="156"/>
      <c r="CL80" s="156"/>
      <c r="CM80" s="156"/>
      <c r="CN80" s="156"/>
      <c r="CO80" s="156"/>
      <c r="CP80" s="156"/>
      <c r="CQ80" s="156"/>
      <c r="CR80" s="156"/>
      <c r="CS80" s="156"/>
      <c r="CT80" s="156"/>
      <c r="CU80" s="156"/>
      <c r="CV80" s="156"/>
      <c r="CW80" s="157"/>
      <c r="CX80" s="151"/>
      <c r="CY80" s="151"/>
      <c r="CZ80" s="151"/>
      <c r="DA80" s="151"/>
      <c r="DB80" s="151"/>
      <c r="DC80" s="151"/>
      <c r="DD80" s="151"/>
      <c r="DE80" s="151"/>
      <c r="DF80" s="151"/>
      <c r="DG80" s="151"/>
      <c r="DH80" s="151"/>
      <c r="DI80" s="151"/>
      <c r="DJ80" s="151"/>
      <c r="DK80" s="151"/>
      <c r="DL80" s="155"/>
      <c r="DM80" s="156"/>
      <c r="DN80" s="156"/>
      <c r="DO80" s="157"/>
      <c r="DP80" s="151"/>
      <c r="DQ80" s="151"/>
      <c r="DR80" s="151"/>
      <c r="DS80" s="151"/>
    </row>
    <row r="81" spans="1:141" ht="6" customHeight="1" x14ac:dyDescent="0.35">
      <c r="A81" s="183" t="s">
        <v>62</v>
      </c>
      <c r="B81" s="184"/>
      <c r="C81" s="184"/>
      <c r="D81" s="185"/>
      <c r="E81" s="166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209"/>
      <c r="AH81" s="181"/>
      <c r="AI81" s="201"/>
      <c r="AJ81" s="192"/>
      <c r="AK81" s="162"/>
      <c r="AL81" s="162"/>
      <c r="AM81" s="193"/>
      <c r="AN81" s="181"/>
      <c r="AO81" s="201"/>
      <c r="AP81" s="192"/>
      <c r="AQ81" s="162"/>
      <c r="AR81" s="162"/>
      <c r="AS81" s="163"/>
      <c r="AU81" s="303"/>
      <c r="AV81" s="304"/>
      <c r="AW81" s="304"/>
      <c r="AX81" s="304"/>
      <c r="AY81" s="304"/>
      <c r="AZ81" s="304"/>
      <c r="BA81" s="304"/>
      <c r="BB81" s="304"/>
      <c r="BC81" s="304"/>
      <c r="BD81" s="304"/>
      <c r="BE81" s="304"/>
      <c r="BF81" s="304"/>
      <c r="BG81" s="304"/>
      <c r="BH81" s="304"/>
      <c r="BI81" s="304"/>
      <c r="BJ81" s="304"/>
      <c r="BK81" s="304"/>
      <c r="BL81" s="304"/>
      <c r="BM81" s="304"/>
      <c r="BN81" s="304"/>
      <c r="BO81" s="305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5"/>
      <c r="CA81" s="76"/>
      <c r="CB81" s="76"/>
      <c r="CC81" s="76"/>
      <c r="CD81" s="77"/>
      <c r="CE81" s="8"/>
      <c r="CF81" s="158" t="s">
        <v>41</v>
      </c>
      <c r="CG81" s="158"/>
      <c r="CH81" s="158"/>
      <c r="CI81" s="158"/>
      <c r="CJ81" s="158"/>
      <c r="CK81" s="158"/>
      <c r="CL81" s="158"/>
      <c r="CM81" s="152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4"/>
    </row>
    <row r="82" spans="1:141" ht="6" customHeight="1" x14ac:dyDescent="0.35">
      <c r="A82" s="183"/>
      <c r="B82" s="184"/>
      <c r="C82" s="184"/>
      <c r="D82" s="185"/>
      <c r="E82" s="173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210"/>
      <c r="AH82" s="182"/>
      <c r="AI82" s="202"/>
      <c r="AJ82" s="194"/>
      <c r="AK82" s="195"/>
      <c r="AL82" s="195"/>
      <c r="AM82" s="196"/>
      <c r="AN82" s="182"/>
      <c r="AO82" s="202"/>
      <c r="AP82" s="194"/>
      <c r="AQ82" s="195"/>
      <c r="AR82" s="195"/>
      <c r="AS82" s="198"/>
      <c r="AU82" s="300" t="s">
        <v>70</v>
      </c>
      <c r="AV82" s="301"/>
      <c r="AW82" s="301"/>
      <c r="AX82" s="301"/>
      <c r="AY82" s="301"/>
      <c r="AZ82" s="301"/>
      <c r="BA82" s="301"/>
      <c r="BB82" s="301"/>
      <c r="BC82" s="301"/>
      <c r="BD82" s="301"/>
      <c r="BE82" s="301"/>
      <c r="BF82" s="301"/>
      <c r="BG82" s="301"/>
      <c r="BH82" s="301"/>
      <c r="BI82" s="301"/>
      <c r="BJ82" s="301"/>
      <c r="BK82" s="301"/>
      <c r="BL82" s="301"/>
      <c r="BM82" s="301"/>
      <c r="BN82" s="301"/>
      <c r="BO82" s="302"/>
      <c r="BP82" s="78">
        <v>2</v>
      </c>
      <c r="BQ82" s="78"/>
      <c r="BR82" s="78"/>
      <c r="BS82" s="78"/>
      <c r="BT82" s="78"/>
      <c r="BU82" s="78">
        <v>1</v>
      </c>
      <c r="BV82" s="78"/>
      <c r="BW82" s="78"/>
      <c r="BX82" s="78"/>
      <c r="BY82" s="78"/>
      <c r="BZ82" s="72"/>
      <c r="CA82" s="73"/>
      <c r="CB82" s="73"/>
      <c r="CC82" s="73"/>
      <c r="CD82" s="74"/>
      <c r="CE82" s="8"/>
      <c r="CF82" s="159"/>
      <c r="CG82" s="159"/>
      <c r="CH82" s="159"/>
      <c r="CI82" s="159"/>
      <c r="CJ82" s="159"/>
      <c r="CK82" s="159"/>
      <c r="CL82" s="159"/>
      <c r="CM82" s="155"/>
      <c r="CN82" s="156"/>
      <c r="CO82" s="156"/>
      <c r="CP82" s="156"/>
      <c r="CQ82" s="156"/>
      <c r="CR82" s="156"/>
      <c r="CS82" s="156"/>
      <c r="CT82" s="156"/>
      <c r="CU82" s="156"/>
      <c r="CV82" s="156"/>
      <c r="CW82" s="156"/>
      <c r="CX82" s="156"/>
      <c r="CY82" s="156"/>
      <c r="CZ82" s="156"/>
      <c r="DA82" s="156"/>
      <c r="DB82" s="156"/>
      <c r="DC82" s="156"/>
      <c r="DD82" s="156"/>
      <c r="DE82" s="156"/>
      <c r="DF82" s="156"/>
      <c r="DG82" s="156"/>
      <c r="DH82" s="156"/>
      <c r="DI82" s="156"/>
      <c r="DJ82" s="156"/>
      <c r="DK82" s="156"/>
      <c r="DL82" s="156"/>
      <c r="DM82" s="156"/>
      <c r="DN82" s="156"/>
      <c r="DO82" s="156"/>
      <c r="DP82" s="156"/>
      <c r="DQ82" s="156"/>
      <c r="DR82" s="156"/>
      <c r="DS82" s="157"/>
    </row>
    <row r="83" spans="1:141" ht="6" customHeight="1" x14ac:dyDescent="0.35">
      <c r="A83" s="183"/>
      <c r="B83" s="184"/>
      <c r="C83" s="184"/>
      <c r="D83" s="185"/>
      <c r="E83" s="166" t="s">
        <v>186</v>
      </c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75" t="s">
        <v>26</v>
      </c>
      <c r="AN83" s="176"/>
      <c r="AO83" s="170"/>
      <c r="AP83" s="160">
        <f>AL77-AJ80</f>
        <v>2</v>
      </c>
      <c r="AQ83" s="160"/>
      <c r="AR83" s="160"/>
      <c r="AS83" s="161"/>
      <c r="AU83" s="303"/>
      <c r="AV83" s="304"/>
      <c r="AW83" s="304"/>
      <c r="AX83" s="304"/>
      <c r="AY83" s="304"/>
      <c r="AZ83" s="304"/>
      <c r="BA83" s="304"/>
      <c r="BB83" s="304"/>
      <c r="BC83" s="304"/>
      <c r="BD83" s="304"/>
      <c r="BE83" s="304"/>
      <c r="BF83" s="304"/>
      <c r="BG83" s="304"/>
      <c r="BH83" s="304"/>
      <c r="BI83" s="304"/>
      <c r="BJ83" s="304"/>
      <c r="BK83" s="304"/>
      <c r="BL83" s="304"/>
      <c r="BM83" s="304"/>
      <c r="BN83" s="304"/>
      <c r="BO83" s="305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5"/>
      <c r="CA83" s="76"/>
      <c r="CB83" s="76"/>
      <c r="CC83" s="76"/>
      <c r="CD83" s="77"/>
      <c r="CE83" s="8"/>
      <c r="CF83" s="152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4"/>
      <c r="CX83" s="150"/>
      <c r="CY83" s="150"/>
      <c r="CZ83" s="150"/>
      <c r="DA83" s="150"/>
      <c r="DB83" s="150"/>
      <c r="DC83" s="150"/>
      <c r="DD83" s="150"/>
      <c r="DE83" s="150"/>
      <c r="DF83" s="150"/>
      <c r="DG83" s="150"/>
      <c r="DH83" s="150"/>
      <c r="DI83" s="150"/>
      <c r="DJ83" s="150"/>
      <c r="DK83" s="150"/>
      <c r="DL83" s="152"/>
      <c r="DM83" s="153"/>
      <c r="DN83" s="153"/>
      <c r="DO83" s="154"/>
      <c r="DP83" s="150"/>
      <c r="DQ83" s="150"/>
      <c r="DR83" s="150"/>
      <c r="DS83" s="150"/>
    </row>
    <row r="84" spans="1:141" ht="6" customHeight="1" x14ac:dyDescent="0.35">
      <c r="A84" s="183"/>
      <c r="B84" s="184"/>
      <c r="C84" s="184"/>
      <c r="D84" s="185"/>
      <c r="E84" s="173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74"/>
      <c r="AI84" s="174"/>
      <c r="AJ84" s="174"/>
      <c r="AK84" s="174"/>
      <c r="AL84" s="174"/>
      <c r="AM84" s="177"/>
      <c r="AN84" s="178"/>
      <c r="AO84" s="181"/>
      <c r="AP84" s="162"/>
      <c r="AQ84" s="162"/>
      <c r="AR84" s="162"/>
      <c r="AS84" s="163"/>
      <c r="AU84" s="300" t="s">
        <v>71</v>
      </c>
      <c r="AV84" s="301"/>
      <c r="AW84" s="301"/>
      <c r="AX84" s="301"/>
      <c r="AY84" s="301"/>
      <c r="AZ84" s="301"/>
      <c r="BA84" s="301"/>
      <c r="BB84" s="301"/>
      <c r="BC84" s="301"/>
      <c r="BD84" s="301"/>
      <c r="BE84" s="301"/>
      <c r="BF84" s="301"/>
      <c r="BG84" s="301"/>
      <c r="BH84" s="301"/>
      <c r="BI84" s="301"/>
      <c r="BJ84" s="301"/>
      <c r="BK84" s="301"/>
      <c r="BL84" s="301"/>
      <c r="BM84" s="301"/>
      <c r="BN84" s="301"/>
      <c r="BO84" s="302"/>
      <c r="BP84" s="78">
        <v>2</v>
      </c>
      <c r="BQ84" s="78"/>
      <c r="BR84" s="78"/>
      <c r="BS84" s="78"/>
      <c r="BT84" s="78"/>
      <c r="BU84" s="78">
        <v>0</v>
      </c>
      <c r="BV84" s="78"/>
      <c r="BW84" s="78"/>
      <c r="BX84" s="78"/>
      <c r="BY84" s="78"/>
      <c r="BZ84" s="72"/>
      <c r="CA84" s="73"/>
      <c r="CB84" s="73"/>
      <c r="CC84" s="73"/>
      <c r="CD84" s="74"/>
      <c r="CE84" s="8"/>
      <c r="CF84" s="155"/>
      <c r="CG84" s="156"/>
      <c r="CH84" s="156"/>
      <c r="CI84" s="156"/>
      <c r="CJ84" s="156"/>
      <c r="CK84" s="156"/>
      <c r="CL84" s="156"/>
      <c r="CM84" s="156"/>
      <c r="CN84" s="156"/>
      <c r="CO84" s="156"/>
      <c r="CP84" s="156"/>
      <c r="CQ84" s="156"/>
      <c r="CR84" s="156"/>
      <c r="CS84" s="156"/>
      <c r="CT84" s="156"/>
      <c r="CU84" s="156"/>
      <c r="CV84" s="156"/>
      <c r="CW84" s="157"/>
      <c r="CX84" s="151"/>
      <c r="CY84" s="151"/>
      <c r="CZ84" s="151"/>
      <c r="DA84" s="151"/>
      <c r="DB84" s="151"/>
      <c r="DC84" s="151"/>
      <c r="DD84" s="151"/>
      <c r="DE84" s="151"/>
      <c r="DF84" s="151"/>
      <c r="DG84" s="151"/>
      <c r="DH84" s="151"/>
      <c r="DI84" s="151"/>
      <c r="DJ84" s="151"/>
      <c r="DK84" s="151"/>
      <c r="DL84" s="155"/>
      <c r="DM84" s="156"/>
      <c r="DN84" s="156"/>
      <c r="DO84" s="157"/>
      <c r="DP84" s="151"/>
      <c r="DQ84" s="151"/>
      <c r="DR84" s="151"/>
      <c r="DS84" s="151"/>
    </row>
    <row r="85" spans="1:141" ht="6" customHeight="1" x14ac:dyDescent="0.35">
      <c r="A85" s="183"/>
      <c r="B85" s="184"/>
      <c r="C85" s="184"/>
      <c r="D85" s="185"/>
      <c r="E85" s="166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79"/>
      <c r="AN85" s="180"/>
      <c r="AO85" s="182"/>
      <c r="AP85" s="162"/>
      <c r="AQ85" s="162"/>
      <c r="AR85" s="162"/>
      <c r="AS85" s="163"/>
      <c r="AU85" s="303"/>
      <c r="AV85" s="304"/>
      <c r="AW85" s="304"/>
      <c r="AX85" s="304"/>
      <c r="AY85" s="304"/>
      <c r="AZ85" s="304"/>
      <c r="BA85" s="304"/>
      <c r="BB85" s="304"/>
      <c r="BC85" s="304"/>
      <c r="BD85" s="304"/>
      <c r="BE85" s="304"/>
      <c r="BF85" s="304"/>
      <c r="BG85" s="304"/>
      <c r="BH85" s="304"/>
      <c r="BI85" s="304"/>
      <c r="BJ85" s="304"/>
      <c r="BK85" s="304"/>
      <c r="BL85" s="304"/>
      <c r="BM85" s="304"/>
      <c r="BN85" s="304"/>
      <c r="BO85" s="305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5"/>
      <c r="CA85" s="76"/>
      <c r="CB85" s="76"/>
      <c r="CC85" s="76"/>
      <c r="CD85" s="77"/>
      <c r="CE85" s="8"/>
      <c r="CF85" s="158" t="s">
        <v>41</v>
      </c>
      <c r="CG85" s="158"/>
      <c r="CH85" s="158"/>
      <c r="CI85" s="158"/>
      <c r="CJ85" s="158"/>
      <c r="CK85" s="158"/>
      <c r="CL85" s="158"/>
      <c r="CM85" s="152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  <c r="DG85" s="153"/>
      <c r="DH85" s="153"/>
      <c r="DI85" s="153"/>
      <c r="DJ85" s="153"/>
      <c r="DK85" s="153"/>
      <c r="DL85" s="153"/>
      <c r="DM85" s="153"/>
      <c r="DN85" s="153"/>
      <c r="DO85" s="153"/>
      <c r="DP85" s="153"/>
      <c r="DQ85" s="153"/>
      <c r="DR85" s="153"/>
      <c r="DS85" s="154"/>
    </row>
    <row r="86" spans="1:141" ht="6" customHeight="1" x14ac:dyDescent="0.35">
      <c r="A86" s="186"/>
      <c r="B86" s="187"/>
      <c r="C86" s="187"/>
      <c r="D86" s="188"/>
      <c r="E86" s="168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70"/>
      <c r="AN86" s="171"/>
      <c r="AO86" s="9"/>
      <c r="AP86" s="164"/>
      <c r="AQ86" s="164"/>
      <c r="AR86" s="164"/>
      <c r="AS86" s="165"/>
      <c r="AU86" s="300"/>
      <c r="AV86" s="301"/>
      <c r="AW86" s="301"/>
      <c r="AX86" s="301"/>
      <c r="AY86" s="301"/>
      <c r="AZ86" s="301"/>
      <c r="BA86" s="301"/>
      <c r="BB86" s="301"/>
      <c r="BC86" s="301"/>
      <c r="BD86" s="301"/>
      <c r="BE86" s="301"/>
      <c r="BF86" s="301"/>
      <c r="BG86" s="301"/>
      <c r="BH86" s="301"/>
      <c r="BI86" s="301"/>
      <c r="BJ86" s="301"/>
      <c r="BK86" s="301"/>
      <c r="BL86" s="301"/>
      <c r="BM86" s="301"/>
      <c r="BN86" s="301"/>
      <c r="BO86" s="302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2"/>
      <c r="CA86" s="73"/>
      <c r="CB86" s="73"/>
      <c r="CC86" s="73"/>
      <c r="CD86" s="74"/>
      <c r="CE86" s="8"/>
      <c r="CF86" s="159"/>
      <c r="CG86" s="159"/>
      <c r="CH86" s="159"/>
      <c r="CI86" s="159"/>
      <c r="CJ86" s="159"/>
      <c r="CK86" s="159"/>
      <c r="CL86" s="159"/>
      <c r="CM86" s="155"/>
      <c r="CN86" s="156"/>
      <c r="CO86" s="156"/>
      <c r="CP86" s="156"/>
      <c r="CQ86" s="156"/>
      <c r="CR86" s="156"/>
      <c r="CS86" s="156"/>
      <c r="CT86" s="156"/>
      <c r="CU86" s="156"/>
      <c r="CV86" s="156"/>
      <c r="CW86" s="156"/>
      <c r="CX86" s="156"/>
      <c r="CY86" s="156"/>
      <c r="CZ86" s="156"/>
      <c r="DA86" s="156"/>
      <c r="DB86" s="156"/>
      <c r="DC86" s="156"/>
      <c r="DD86" s="156"/>
      <c r="DE86" s="156"/>
      <c r="DF86" s="156"/>
      <c r="DG86" s="156"/>
      <c r="DH86" s="156"/>
      <c r="DI86" s="156"/>
      <c r="DJ86" s="156"/>
      <c r="DK86" s="156"/>
      <c r="DL86" s="156"/>
      <c r="DM86" s="156"/>
      <c r="DN86" s="156"/>
      <c r="DO86" s="156"/>
      <c r="DP86" s="156"/>
      <c r="DQ86" s="156"/>
      <c r="DR86" s="156"/>
      <c r="DS86" s="157"/>
    </row>
    <row r="87" spans="1:141" ht="6" customHeight="1" x14ac:dyDescent="0.35">
      <c r="A87" s="213" t="s">
        <v>21</v>
      </c>
      <c r="B87" s="214"/>
      <c r="C87" s="214"/>
      <c r="D87" s="214"/>
      <c r="E87" s="205" t="s">
        <v>205</v>
      </c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307" t="str">
        <f>_xlfn.XLOOKUP(E89,'Skill Calcs'!$F$2:$F$15,'Skill Calcs'!$G$2:$G$15,"",0,1)</f>
        <v>Mind</v>
      </c>
      <c r="AC87" s="307"/>
      <c r="AD87" s="307"/>
      <c r="AE87" s="307"/>
      <c r="AF87" s="307"/>
      <c r="AG87" s="307"/>
      <c r="AH87" s="189">
        <v>3</v>
      </c>
      <c r="AI87" s="190"/>
      <c r="AJ87" s="190"/>
      <c r="AK87" s="191"/>
      <c r="AL87" s="189">
        <f>IF(_CTR_9&gt;0,_CTR_9,"")</f>
        <v>1</v>
      </c>
      <c r="AM87" s="190"/>
      <c r="AN87" s="190"/>
      <c r="AO87" s="191"/>
      <c r="AP87" s="189"/>
      <c r="AQ87" s="190"/>
      <c r="AR87" s="190"/>
      <c r="AS87" s="197"/>
      <c r="AU87" s="303"/>
      <c r="AV87" s="304"/>
      <c r="AW87" s="304"/>
      <c r="AX87" s="304"/>
      <c r="AY87" s="304"/>
      <c r="AZ87" s="304"/>
      <c r="BA87" s="304"/>
      <c r="BB87" s="304"/>
      <c r="BC87" s="304"/>
      <c r="BD87" s="304"/>
      <c r="BE87" s="304"/>
      <c r="BF87" s="304"/>
      <c r="BG87" s="304"/>
      <c r="BH87" s="304"/>
      <c r="BI87" s="304"/>
      <c r="BJ87" s="304"/>
      <c r="BK87" s="304"/>
      <c r="BL87" s="304"/>
      <c r="BM87" s="304"/>
      <c r="BN87" s="304"/>
      <c r="BO87" s="305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5"/>
      <c r="CA87" s="76"/>
      <c r="CB87" s="76"/>
      <c r="CC87" s="76"/>
      <c r="CD87" s="77"/>
      <c r="CE87" s="8"/>
      <c r="CF87" s="152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3"/>
      <c r="CV87" s="153"/>
      <c r="CW87" s="154"/>
      <c r="CX87" s="150"/>
      <c r="CY87" s="150"/>
      <c r="CZ87" s="150"/>
      <c r="DA87" s="150"/>
      <c r="DB87" s="150"/>
      <c r="DC87" s="150"/>
      <c r="DD87" s="150"/>
      <c r="DE87" s="150"/>
      <c r="DF87" s="150"/>
      <c r="DG87" s="150"/>
      <c r="DH87" s="150"/>
      <c r="DI87" s="150"/>
      <c r="DJ87" s="150"/>
      <c r="DK87" s="150"/>
      <c r="DL87" s="152"/>
      <c r="DM87" s="153"/>
      <c r="DN87" s="153"/>
      <c r="DO87" s="154"/>
      <c r="DP87" s="150"/>
      <c r="DQ87" s="150"/>
      <c r="DR87" s="150"/>
      <c r="DS87" s="150"/>
    </row>
    <row r="88" spans="1:141" ht="6" customHeight="1" x14ac:dyDescent="0.35">
      <c r="A88" s="199"/>
      <c r="B88" s="200"/>
      <c r="C88" s="200"/>
      <c r="D88" s="200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307"/>
      <c r="AC88" s="307"/>
      <c r="AD88" s="307"/>
      <c r="AE88" s="307"/>
      <c r="AF88" s="307"/>
      <c r="AG88" s="307"/>
      <c r="AH88" s="192"/>
      <c r="AI88" s="162"/>
      <c r="AJ88" s="162"/>
      <c r="AK88" s="193"/>
      <c r="AL88" s="192"/>
      <c r="AM88" s="162"/>
      <c r="AN88" s="162"/>
      <c r="AO88" s="193"/>
      <c r="AP88" s="192"/>
      <c r="AQ88" s="162"/>
      <c r="AR88" s="162"/>
      <c r="AS88" s="163"/>
      <c r="AU88" s="300"/>
      <c r="AV88" s="301"/>
      <c r="AW88" s="301"/>
      <c r="AX88" s="301"/>
      <c r="AY88" s="301"/>
      <c r="AZ88" s="301"/>
      <c r="BA88" s="301"/>
      <c r="BB88" s="301"/>
      <c r="BC88" s="301"/>
      <c r="BD88" s="301"/>
      <c r="BE88" s="301"/>
      <c r="BF88" s="301"/>
      <c r="BG88" s="301"/>
      <c r="BH88" s="301"/>
      <c r="BI88" s="301"/>
      <c r="BJ88" s="301"/>
      <c r="BK88" s="301"/>
      <c r="BL88" s="301"/>
      <c r="BM88" s="301"/>
      <c r="BN88" s="301"/>
      <c r="BO88" s="302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2"/>
      <c r="CA88" s="73"/>
      <c r="CB88" s="73"/>
      <c r="CC88" s="73"/>
      <c r="CD88" s="74"/>
      <c r="CF88" s="155"/>
      <c r="CG88" s="156"/>
      <c r="CH88" s="156"/>
      <c r="CI88" s="156"/>
      <c r="CJ88" s="156"/>
      <c r="CK88" s="156"/>
      <c r="CL88" s="156"/>
      <c r="CM88" s="156"/>
      <c r="CN88" s="156"/>
      <c r="CO88" s="156"/>
      <c r="CP88" s="156"/>
      <c r="CQ88" s="156"/>
      <c r="CR88" s="156"/>
      <c r="CS88" s="156"/>
      <c r="CT88" s="156"/>
      <c r="CU88" s="156"/>
      <c r="CV88" s="156"/>
      <c r="CW88" s="157"/>
      <c r="CX88" s="151"/>
      <c r="CY88" s="151"/>
      <c r="CZ88" s="151"/>
      <c r="DA88" s="151"/>
      <c r="DB88" s="151"/>
      <c r="DC88" s="151"/>
      <c r="DD88" s="151"/>
      <c r="DE88" s="151"/>
      <c r="DF88" s="151"/>
      <c r="DG88" s="151"/>
      <c r="DH88" s="151"/>
      <c r="DI88" s="151"/>
      <c r="DJ88" s="151"/>
      <c r="DK88" s="151"/>
      <c r="DL88" s="155"/>
      <c r="DM88" s="156"/>
      <c r="DN88" s="156"/>
      <c r="DO88" s="157"/>
      <c r="DP88" s="151"/>
      <c r="DQ88" s="151"/>
      <c r="DR88" s="151"/>
      <c r="DS88" s="151"/>
    </row>
    <row r="89" spans="1:141" ht="6" customHeight="1" x14ac:dyDescent="0.35">
      <c r="A89" s="199" t="s">
        <v>23</v>
      </c>
      <c r="B89" s="200"/>
      <c r="C89" s="200"/>
      <c r="D89" s="200"/>
      <c r="E89" s="205" t="s">
        <v>48</v>
      </c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307"/>
      <c r="AC89" s="307"/>
      <c r="AD89" s="307"/>
      <c r="AE89" s="307"/>
      <c r="AF89" s="307"/>
      <c r="AG89" s="307"/>
      <c r="AH89" s="194"/>
      <c r="AI89" s="195"/>
      <c r="AJ89" s="195"/>
      <c r="AK89" s="196"/>
      <c r="AL89" s="194"/>
      <c r="AM89" s="195"/>
      <c r="AN89" s="195"/>
      <c r="AO89" s="196"/>
      <c r="AP89" s="194"/>
      <c r="AQ89" s="195"/>
      <c r="AR89" s="195"/>
      <c r="AS89" s="198"/>
      <c r="AU89" s="303"/>
      <c r="AV89" s="304"/>
      <c r="AW89" s="304"/>
      <c r="AX89" s="304"/>
      <c r="AY89" s="304"/>
      <c r="AZ89" s="304"/>
      <c r="BA89" s="304"/>
      <c r="BB89" s="304"/>
      <c r="BC89" s="304"/>
      <c r="BD89" s="304"/>
      <c r="BE89" s="304"/>
      <c r="BF89" s="304"/>
      <c r="BG89" s="304"/>
      <c r="BH89" s="304"/>
      <c r="BI89" s="304"/>
      <c r="BJ89" s="304"/>
      <c r="BK89" s="304"/>
      <c r="BL89" s="304"/>
      <c r="BM89" s="304"/>
      <c r="BN89" s="304"/>
      <c r="BO89" s="305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5"/>
      <c r="CA89" s="76"/>
      <c r="CB89" s="76"/>
      <c r="CC89" s="76"/>
      <c r="CD89" s="77"/>
      <c r="CF89" s="158" t="s">
        <v>41</v>
      </c>
      <c r="CG89" s="158"/>
      <c r="CH89" s="158"/>
      <c r="CI89" s="158"/>
      <c r="CJ89" s="158"/>
      <c r="CK89" s="158"/>
      <c r="CL89" s="158"/>
      <c r="CM89" s="152"/>
      <c r="CN89" s="153"/>
      <c r="CO89" s="153"/>
      <c r="CP89" s="153"/>
      <c r="CQ89" s="153"/>
      <c r="CR89" s="153"/>
      <c r="CS89" s="153"/>
      <c r="CT89" s="153"/>
      <c r="CU89" s="153"/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/>
      <c r="DG89" s="153"/>
      <c r="DH89" s="153"/>
      <c r="DI89" s="153"/>
      <c r="DJ89" s="153"/>
      <c r="DK89" s="153"/>
      <c r="DL89" s="153"/>
      <c r="DM89" s="153"/>
      <c r="DN89" s="153"/>
      <c r="DO89" s="153"/>
      <c r="DP89" s="153"/>
      <c r="DQ89" s="153"/>
      <c r="DR89" s="153"/>
      <c r="DS89" s="154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</row>
    <row r="90" spans="1:141" ht="6" customHeight="1" x14ac:dyDescent="0.35">
      <c r="A90" s="199"/>
      <c r="B90" s="200"/>
      <c r="C90" s="200"/>
      <c r="D90" s="200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307"/>
      <c r="AC90" s="307"/>
      <c r="AD90" s="307"/>
      <c r="AE90" s="307"/>
      <c r="AF90" s="307"/>
      <c r="AG90" s="307"/>
      <c r="AH90" s="170" t="s">
        <v>33</v>
      </c>
      <c r="AI90" s="171"/>
      <c r="AJ90" s="203"/>
      <c r="AK90" s="160"/>
      <c r="AL90" s="160"/>
      <c r="AM90" s="204"/>
      <c r="AN90" s="170" t="s">
        <v>25</v>
      </c>
      <c r="AO90" s="171"/>
      <c r="AP90" s="203"/>
      <c r="AQ90" s="160"/>
      <c r="AR90" s="160"/>
      <c r="AS90" s="161"/>
      <c r="AU90" s="300"/>
      <c r="AV90" s="301"/>
      <c r="AW90" s="301"/>
      <c r="AX90" s="301"/>
      <c r="AY90" s="301"/>
      <c r="AZ90" s="301"/>
      <c r="BA90" s="301"/>
      <c r="BB90" s="301"/>
      <c r="BC90" s="301"/>
      <c r="BD90" s="301"/>
      <c r="BE90" s="301"/>
      <c r="BF90" s="301"/>
      <c r="BG90" s="301"/>
      <c r="BH90" s="301"/>
      <c r="BI90" s="301"/>
      <c r="BJ90" s="301"/>
      <c r="BK90" s="301"/>
      <c r="BL90" s="301"/>
      <c r="BM90" s="301"/>
      <c r="BN90" s="301"/>
      <c r="BO90" s="302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2"/>
      <c r="CA90" s="73"/>
      <c r="CB90" s="73"/>
      <c r="CC90" s="73"/>
      <c r="CD90" s="74"/>
      <c r="CF90" s="159"/>
      <c r="CG90" s="159"/>
      <c r="CH90" s="159"/>
      <c r="CI90" s="159"/>
      <c r="CJ90" s="159"/>
      <c r="CK90" s="159"/>
      <c r="CL90" s="159"/>
      <c r="CM90" s="155"/>
      <c r="CN90" s="156"/>
      <c r="CO90" s="156"/>
      <c r="CP90" s="156"/>
      <c r="CQ90" s="156"/>
      <c r="CR90" s="156"/>
      <c r="CS90" s="156"/>
      <c r="CT90" s="156"/>
      <c r="CU90" s="156"/>
      <c r="CV90" s="156"/>
      <c r="CW90" s="156"/>
      <c r="CX90" s="156"/>
      <c r="CY90" s="156"/>
      <c r="CZ90" s="156"/>
      <c r="DA90" s="156"/>
      <c r="DB90" s="156"/>
      <c r="DC90" s="156"/>
      <c r="DD90" s="156"/>
      <c r="DE90" s="156"/>
      <c r="DF90" s="156"/>
      <c r="DG90" s="156"/>
      <c r="DH90" s="156"/>
      <c r="DI90" s="156"/>
      <c r="DJ90" s="156"/>
      <c r="DK90" s="156"/>
      <c r="DL90" s="156"/>
      <c r="DM90" s="156"/>
      <c r="DN90" s="156"/>
      <c r="DO90" s="156"/>
      <c r="DP90" s="156"/>
      <c r="DQ90" s="156"/>
      <c r="DR90" s="156"/>
      <c r="DS90" s="157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</row>
    <row r="91" spans="1:141" ht="6" customHeight="1" x14ac:dyDescent="0.35">
      <c r="A91" s="183" t="s">
        <v>62</v>
      </c>
      <c r="B91" s="184"/>
      <c r="C91" s="184"/>
      <c r="D91" s="185"/>
      <c r="E91" s="166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209"/>
      <c r="AH91" s="181"/>
      <c r="AI91" s="201"/>
      <c r="AJ91" s="192"/>
      <c r="AK91" s="162"/>
      <c r="AL91" s="162"/>
      <c r="AM91" s="193"/>
      <c r="AN91" s="181"/>
      <c r="AO91" s="201"/>
      <c r="AP91" s="192"/>
      <c r="AQ91" s="162"/>
      <c r="AR91" s="162"/>
      <c r="AS91" s="163"/>
      <c r="AU91" s="303"/>
      <c r="AV91" s="304"/>
      <c r="AW91" s="304"/>
      <c r="AX91" s="304"/>
      <c r="AY91" s="304"/>
      <c r="AZ91" s="304"/>
      <c r="BA91" s="304"/>
      <c r="BB91" s="304"/>
      <c r="BC91" s="304"/>
      <c r="BD91" s="304"/>
      <c r="BE91" s="304"/>
      <c r="BF91" s="304"/>
      <c r="BG91" s="304"/>
      <c r="BH91" s="304"/>
      <c r="BI91" s="304"/>
      <c r="BJ91" s="304"/>
      <c r="BK91" s="304"/>
      <c r="BL91" s="304"/>
      <c r="BM91" s="304"/>
      <c r="BN91" s="304"/>
      <c r="BO91" s="305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5"/>
      <c r="CA91" s="76"/>
      <c r="CB91" s="76"/>
      <c r="CC91" s="76"/>
      <c r="CD91" s="77"/>
      <c r="CF91" s="152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4"/>
      <c r="CX91" s="150"/>
      <c r="CY91" s="150"/>
      <c r="CZ91" s="150"/>
      <c r="DA91" s="150"/>
      <c r="DB91" s="150"/>
      <c r="DC91" s="150"/>
      <c r="DD91" s="150"/>
      <c r="DE91" s="150"/>
      <c r="DF91" s="150"/>
      <c r="DG91" s="150"/>
      <c r="DH91" s="150"/>
      <c r="DI91" s="150"/>
      <c r="DJ91" s="150"/>
      <c r="DK91" s="150"/>
      <c r="DL91" s="152"/>
      <c r="DM91" s="153"/>
      <c r="DN91" s="153"/>
      <c r="DO91" s="154"/>
      <c r="DP91" s="150"/>
      <c r="DQ91" s="150"/>
      <c r="DR91" s="150"/>
      <c r="DS91" s="150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</row>
    <row r="92" spans="1:141" ht="6" customHeight="1" x14ac:dyDescent="0.35">
      <c r="A92" s="183"/>
      <c r="B92" s="184"/>
      <c r="C92" s="184"/>
      <c r="D92" s="185"/>
      <c r="E92" s="173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  <c r="AF92" s="174"/>
      <c r="AG92" s="210"/>
      <c r="AH92" s="182"/>
      <c r="AI92" s="202"/>
      <c r="AJ92" s="194"/>
      <c r="AK92" s="195"/>
      <c r="AL92" s="195"/>
      <c r="AM92" s="196"/>
      <c r="AN92" s="182"/>
      <c r="AO92" s="202"/>
      <c r="AP92" s="194"/>
      <c r="AQ92" s="195"/>
      <c r="AR92" s="195"/>
      <c r="AS92" s="198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F92" s="155"/>
      <c r="CG92" s="156"/>
      <c r="CH92" s="156"/>
      <c r="CI92" s="156"/>
      <c r="CJ92" s="156"/>
      <c r="CK92" s="156"/>
      <c r="CL92" s="156"/>
      <c r="CM92" s="156"/>
      <c r="CN92" s="156"/>
      <c r="CO92" s="156"/>
      <c r="CP92" s="156"/>
      <c r="CQ92" s="156"/>
      <c r="CR92" s="156"/>
      <c r="CS92" s="156"/>
      <c r="CT92" s="156"/>
      <c r="CU92" s="156"/>
      <c r="CV92" s="156"/>
      <c r="CW92" s="157"/>
      <c r="CX92" s="151"/>
      <c r="CY92" s="151"/>
      <c r="CZ92" s="151"/>
      <c r="DA92" s="151"/>
      <c r="DB92" s="151"/>
      <c r="DC92" s="151"/>
      <c r="DD92" s="151"/>
      <c r="DE92" s="151"/>
      <c r="DF92" s="151"/>
      <c r="DG92" s="151"/>
      <c r="DH92" s="151"/>
      <c r="DI92" s="151"/>
      <c r="DJ92" s="151"/>
      <c r="DK92" s="151"/>
      <c r="DL92" s="155"/>
      <c r="DM92" s="156"/>
      <c r="DN92" s="156"/>
      <c r="DO92" s="157"/>
      <c r="DP92" s="151"/>
      <c r="DQ92" s="151"/>
      <c r="DR92" s="151"/>
      <c r="DS92" s="151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</row>
    <row r="93" spans="1:141" ht="6" customHeight="1" x14ac:dyDescent="0.35">
      <c r="A93" s="183"/>
      <c r="B93" s="184"/>
      <c r="C93" s="184"/>
      <c r="D93" s="185"/>
      <c r="E93" s="166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75" t="s">
        <v>26</v>
      </c>
      <c r="AN93" s="176"/>
      <c r="AO93" s="170"/>
      <c r="AP93" s="160"/>
      <c r="AQ93" s="160"/>
      <c r="AR93" s="160"/>
      <c r="AS93" s="161"/>
      <c r="AU93" s="64" t="s">
        <v>31</v>
      </c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6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8"/>
      <c r="CF93" s="158" t="s">
        <v>41</v>
      </c>
      <c r="CG93" s="158"/>
      <c r="CH93" s="158"/>
      <c r="CI93" s="158"/>
      <c r="CJ93" s="158"/>
      <c r="CK93" s="158"/>
      <c r="CL93" s="158"/>
      <c r="CM93" s="152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  <c r="DG93" s="153"/>
      <c r="DH93" s="153"/>
      <c r="DI93" s="153"/>
      <c r="DJ93" s="153"/>
      <c r="DK93" s="153"/>
      <c r="DL93" s="153"/>
      <c r="DM93" s="153"/>
      <c r="DN93" s="153"/>
      <c r="DO93" s="153"/>
      <c r="DP93" s="153"/>
      <c r="DQ93" s="153"/>
      <c r="DR93" s="153"/>
      <c r="DS93" s="154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</row>
    <row r="94" spans="1:141" ht="6" customHeight="1" x14ac:dyDescent="0.35">
      <c r="A94" s="183"/>
      <c r="B94" s="184"/>
      <c r="C94" s="184"/>
      <c r="D94" s="185"/>
      <c r="E94" s="173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  <c r="AF94" s="174"/>
      <c r="AG94" s="174"/>
      <c r="AH94" s="174"/>
      <c r="AI94" s="174"/>
      <c r="AJ94" s="174"/>
      <c r="AK94" s="174"/>
      <c r="AL94" s="174"/>
      <c r="AM94" s="177"/>
      <c r="AN94" s="178"/>
      <c r="AO94" s="181"/>
      <c r="AP94" s="162"/>
      <c r="AQ94" s="162"/>
      <c r="AR94" s="162"/>
      <c r="AS94" s="163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9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1"/>
      <c r="CF94" s="159"/>
      <c r="CG94" s="159"/>
      <c r="CH94" s="159"/>
      <c r="CI94" s="159"/>
      <c r="CJ94" s="159"/>
      <c r="CK94" s="159"/>
      <c r="CL94" s="159"/>
      <c r="CM94" s="155"/>
      <c r="CN94" s="156"/>
      <c r="CO94" s="156"/>
      <c r="CP94" s="156"/>
      <c r="CQ94" s="156"/>
      <c r="CR94" s="156"/>
      <c r="CS94" s="156"/>
      <c r="CT94" s="156"/>
      <c r="CU94" s="156"/>
      <c r="CV94" s="156"/>
      <c r="CW94" s="156"/>
      <c r="CX94" s="156"/>
      <c r="CY94" s="156"/>
      <c r="CZ94" s="156"/>
      <c r="DA94" s="156"/>
      <c r="DB94" s="156"/>
      <c r="DC94" s="156"/>
      <c r="DD94" s="156"/>
      <c r="DE94" s="156"/>
      <c r="DF94" s="156"/>
      <c r="DG94" s="156"/>
      <c r="DH94" s="156"/>
      <c r="DI94" s="156"/>
      <c r="DJ94" s="156"/>
      <c r="DK94" s="156"/>
      <c r="DL94" s="156"/>
      <c r="DM94" s="156"/>
      <c r="DN94" s="156"/>
      <c r="DO94" s="156"/>
      <c r="DP94" s="156"/>
      <c r="DQ94" s="156"/>
      <c r="DR94" s="156"/>
      <c r="DS94" s="157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</row>
    <row r="95" spans="1:141" ht="6" customHeight="1" x14ac:dyDescent="0.35">
      <c r="A95" s="183"/>
      <c r="B95" s="184"/>
      <c r="C95" s="184"/>
      <c r="D95" s="185"/>
      <c r="E95" s="166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79"/>
      <c r="AN95" s="180"/>
      <c r="AO95" s="182"/>
      <c r="AP95" s="162"/>
      <c r="AQ95" s="162"/>
      <c r="AR95" s="162"/>
      <c r="AS95" s="163"/>
      <c r="CF95" s="152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4"/>
      <c r="CX95" s="150"/>
      <c r="CY95" s="150"/>
      <c r="CZ95" s="150"/>
      <c r="DA95" s="150"/>
      <c r="DB95" s="150"/>
      <c r="DC95" s="150"/>
      <c r="DD95" s="150"/>
      <c r="DE95" s="150"/>
      <c r="DF95" s="150"/>
      <c r="DG95" s="150"/>
      <c r="DH95" s="150"/>
      <c r="DI95" s="150"/>
      <c r="DJ95" s="150"/>
      <c r="DK95" s="150"/>
      <c r="DL95" s="152"/>
      <c r="DM95" s="153"/>
      <c r="DN95" s="153"/>
      <c r="DO95" s="154"/>
      <c r="DP95" s="150"/>
      <c r="DQ95" s="150"/>
      <c r="DR95" s="150"/>
      <c r="DS95" s="150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</row>
    <row r="96" spans="1:141" ht="6" customHeight="1" x14ac:dyDescent="0.35">
      <c r="A96" s="186"/>
      <c r="B96" s="187"/>
      <c r="C96" s="187"/>
      <c r="D96" s="188"/>
      <c r="E96" s="168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70"/>
      <c r="AN96" s="171"/>
      <c r="AO96" s="9"/>
      <c r="AP96" s="164"/>
      <c r="AQ96" s="164"/>
      <c r="AR96" s="164"/>
      <c r="AS96" s="165"/>
      <c r="AU96" s="64" t="s">
        <v>32</v>
      </c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5"/>
      <c r="BH96" s="66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8"/>
      <c r="CF96" s="155"/>
      <c r="CG96" s="156"/>
      <c r="CH96" s="156"/>
      <c r="CI96" s="156"/>
      <c r="CJ96" s="156"/>
      <c r="CK96" s="156"/>
      <c r="CL96" s="156"/>
      <c r="CM96" s="156"/>
      <c r="CN96" s="156"/>
      <c r="CO96" s="156"/>
      <c r="CP96" s="156"/>
      <c r="CQ96" s="156"/>
      <c r="CR96" s="156"/>
      <c r="CS96" s="156"/>
      <c r="CT96" s="156"/>
      <c r="CU96" s="156"/>
      <c r="CV96" s="156"/>
      <c r="CW96" s="157"/>
      <c r="CX96" s="151"/>
      <c r="CY96" s="151"/>
      <c r="CZ96" s="151"/>
      <c r="DA96" s="151"/>
      <c r="DB96" s="151"/>
      <c r="DC96" s="151"/>
      <c r="DD96" s="151"/>
      <c r="DE96" s="151"/>
      <c r="DF96" s="151"/>
      <c r="DG96" s="151"/>
      <c r="DH96" s="151"/>
      <c r="DI96" s="151"/>
      <c r="DJ96" s="151"/>
      <c r="DK96" s="151"/>
      <c r="DL96" s="155"/>
      <c r="DM96" s="156"/>
      <c r="DN96" s="156"/>
      <c r="DO96" s="157"/>
      <c r="DP96" s="151"/>
      <c r="DQ96" s="151"/>
      <c r="DR96" s="151"/>
      <c r="DS96" s="151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</row>
    <row r="97" spans="1:181" ht="6" customHeight="1" x14ac:dyDescent="0.35">
      <c r="A97" s="211" t="s">
        <v>44</v>
      </c>
      <c r="B97" s="211"/>
      <c r="C97" s="211"/>
      <c r="D97" s="211"/>
      <c r="E97" s="217" t="s">
        <v>47</v>
      </c>
      <c r="F97" s="217"/>
      <c r="G97" s="217"/>
      <c r="H97" s="217"/>
      <c r="I97" s="206">
        <v>150</v>
      </c>
      <c r="J97" s="190"/>
      <c r="K97" s="190"/>
      <c r="L97" s="190"/>
      <c r="M97" s="197"/>
      <c r="N97" s="11"/>
      <c r="O97" s="12"/>
      <c r="P97" s="12"/>
      <c r="Q97" s="12"/>
      <c r="R97" s="215" t="s">
        <v>46</v>
      </c>
      <c r="S97" s="215"/>
      <c r="T97" s="206"/>
      <c r="U97" s="190"/>
      <c r="V97" s="190"/>
      <c r="W97" s="190"/>
      <c r="X97" s="197"/>
      <c r="Y97" s="215" t="s">
        <v>45</v>
      </c>
      <c r="Z97" s="215"/>
      <c r="AA97" s="206" cm="1">
        <f t="array" ref="AA97">SUM(-(DO7:DS18),DO22:DS39,BZ76:CD91,_Sum_Skill_Costs)</f>
        <v>149</v>
      </c>
      <c r="AB97" s="190"/>
      <c r="AC97" s="190"/>
      <c r="AD97" s="190"/>
      <c r="AE97" s="197"/>
      <c r="AF97" s="13"/>
      <c r="AG97" s="13"/>
      <c r="AH97" s="13"/>
      <c r="AI97" s="13"/>
      <c r="AJ97" s="13"/>
      <c r="AK97" s="13"/>
      <c r="AL97" s="13"/>
      <c r="AM97" s="215" t="s">
        <v>80</v>
      </c>
      <c r="AN97" s="215"/>
      <c r="AO97" s="206">
        <f>I97+T97-AA97</f>
        <v>1</v>
      </c>
      <c r="AP97" s="190"/>
      <c r="AQ97" s="190"/>
      <c r="AR97" s="190"/>
      <c r="AS97" s="197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5"/>
      <c r="BH97" s="69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1"/>
      <c r="CF97" s="158" t="s">
        <v>41</v>
      </c>
      <c r="CG97" s="158"/>
      <c r="CH97" s="158"/>
      <c r="CI97" s="158"/>
      <c r="CJ97" s="158"/>
      <c r="CK97" s="158"/>
      <c r="CL97" s="158"/>
      <c r="CM97" s="152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  <c r="DG97" s="153"/>
      <c r="DH97" s="153"/>
      <c r="DI97" s="153"/>
      <c r="DJ97" s="153"/>
      <c r="DK97" s="153"/>
      <c r="DL97" s="153"/>
      <c r="DM97" s="153"/>
      <c r="DN97" s="153"/>
      <c r="DO97" s="153"/>
      <c r="DP97" s="153"/>
      <c r="DQ97" s="153"/>
      <c r="DR97" s="153"/>
      <c r="DS97" s="154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</row>
    <row r="98" spans="1:181" ht="6" customHeight="1" x14ac:dyDescent="0.35">
      <c r="A98" s="212"/>
      <c r="B98" s="212"/>
      <c r="C98" s="212"/>
      <c r="D98" s="212"/>
      <c r="E98" s="218"/>
      <c r="F98" s="218"/>
      <c r="G98" s="218"/>
      <c r="H98" s="218"/>
      <c r="I98" s="207"/>
      <c r="J98" s="162"/>
      <c r="K98" s="162"/>
      <c r="L98" s="162"/>
      <c r="M98" s="163"/>
      <c r="N98" s="11"/>
      <c r="O98" s="12"/>
      <c r="P98" s="12"/>
      <c r="Q98" s="12"/>
      <c r="R98" s="216"/>
      <c r="S98" s="216"/>
      <c r="T98" s="207"/>
      <c r="U98" s="162"/>
      <c r="V98" s="162"/>
      <c r="W98" s="162"/>
      <c r="X98" s="163"/>
      <c r="Y98" s="216"/>
      <c r="Z98" s="216"/>
      <c r="AA98" s="207"/>
      <c r="AB98" s="162"/>
      <c r="AC98" s="162"/>
      <c r="AD98" s="162"/>
      <c r="AE98" s="163"/>
      <c r="AF98" s="13"/>
      <c r="AG98" s="13"/>
      <c r="AH98" s="13"/>
      <c r="AI98" s="13"/>
      <c r="AJ98" s="13"/>
      <c r="AK98" s="13"/>
      <c r="AL98" s="13"/>
      <c r="AM98" s="216"/>
      <c r="AN98" s="216"/>
      <c r="AO98" s="207"/>
      <c r="AP98" s="162"/>
      <c r="AQ98" s="162"/>
      <c r="AR98" s="162"/>
      <c r="AS98" s="163"/>
      <c r="BH98" s="66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8"/>
      <c r="CF98" s="159"/>
      <c r="CG98" s="159"/>
      <c r="CH98" s="159"/>
      <c r="CI98" s="159"/>
      <c r="CJ98" s="159"/>
      <c r="CK98" s="159"/>
      <c r="CL98" s="159"/>
      <c r="CM98" s="155"/>
      <c r="CN98" s="156"/>
      <c r="CO98" s="156"/>
      <c r="CP98" s="156"/>
      <c r="CQ98" s="156"/>
      <c r="CR98" s="156"/>
      <c r="CS98" s="156"/>
      <c r="CT98" s="156"/>
      <c r="CU98" s="156"/>
      <c r="CV98" s="156"/>
      <c r="CW98" s="156"/>
      <c r="CX98" s="156"/>
      <c r="CY98" s="156"/>
      <c r="CZ98" s="156"/>
      <c r="DA98" s="156"/>
      <c r="DB98" s="156"/>
      <c r="DC98" s="156"/>
      <c r="DD98" s="156"/>
      <c r="DE98" s="156"/>
      <c r="DF98" s="156"/>
      <c r="DG98" s="156"/>
      <c r="DH98" s="156"/>
      <c r="DI98" s="156"/>
      <c r="DJ98" s="156"/>
      <c r="DK98" s="156"/>
      <c r="DL98" s="156"/>
      <c r="DM98" s="156"/>
      <c r="DN98" s="156"/>
      <c r="DO98" s="156"/>
      <c r="DP98" s="156"/>
      <c r="DQ98" s="156"/>
      <c r="DR98" s="156"/>
      <c r="DS98" s="157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</row>
    <row r="99" spans="1:181" ht="6" customHeight="1" x14ac:dyDescent="0.35">
      <c r="A99" s="212"/>
      <c r="B99" s="212"/>
      <c r="C99" s="212"/>
      <c r="D99" s="212"/>
      <c r="E99" s="218"/>
      <c r="F99" s="218"/>
      <c r="G99" s="218"/>
      <c r="H99" s="218"/>
      <c r="I99" s="208"/>
      <c r="J99" s="164"/>
      <c r="K99" s="164"/>
      <c r="L99" s="164"/>
      <c r="M99" s="165"/>
      <c r="N99" s="11"/>
      <c r="O99" s="12"/>
      <c r="P99" s="12"/>
      <c r="Q99" s="12"/>
      <c r="R99" s="216"/>
      <c r="S99" s="216"/>
      <c r="T99" s="208"/>
      <c r="U99" s="164"/>
      <c r="V99" s="164"/>
      <c r="W99" s="164"/>
      <c r="X99" s="165"/>
      <c r="Y99" s="216"/>
      <c r="Z99" s="216"/>
      <c r="AA99" s="208"/>
      <c r="AB99" s="164"/>
      <c r="AC99" s="164"/>
      <c r="AD99" s="164"/>
      <c r="AE99" s="165"/>
      <c r="AF99" s="13"/>
      <c r="AG99" s="13"/>
      <c r="AH99" s="13"/>
      <c r="AI99" s="13"/>
      <c r="AJ99" s="13"/>
      <c r="AK99" s="13"/>
      <c r="AL99" s="13"/>
      <c r="AM99" s="216"/>
      <c r="AN99" s="216"/>
      <c r="AO99" s="208"/>
      <c r="AP99" s="164"/>
      <c r="AQ99" s="164"/>
      <c r="AR99" s="164"/>
      <c r="AS99" s="165"/>
      <c r="BH99" s="69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1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</row>
    <row r="100" spans="1:181" ht="6" customHeight="1" x14ac:dyDescent="0.35"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</row>
    <row r="106" spans="1:181" ht="6" customHeight="1" x14ac:dyDescent="0.35">
      <c r="BT106"/>
      <c r="BU106" s="63"/>
      <c r="BV106" s="63"/>
    </row>
    <row r="107" spans="1:181" ht="6" customHeight="1" x14ac:dyDescent="0.35">
      <c r="BT107"/>
      <c r="BU107" s="63"/>
      <c r="BV107" s="63"/>
    </row>
    <row r="108" spans="1:181" ht="6" customHeight="1" x14ac:dyDescent="0.35">
      <c r="BT108"/>
      <c r="BU108" s="63"/>
      <c r="BV108" s="63"/>
    </row>
    <row r="109" spans="1:181" ht="6" customHeight="1" x14ac:dyDescent="0.35">
      <c r="BT109"/>
      <c r="BU109" s="63"/>
      <c r="BV109" s="63"/>
    </row>
    <row r="110" spans="1:181" ht="6" customHeight="1" x14ac:dyDescent="0.35">
      <c r="BT110"/>
      <c r="BU110" s="63"/>
      <c r="BV110" s="63"/>
    </row>
  </sheetData>
  <mergeCells count="516">
    <mergeCell ref="E77:AA78"/>
    <mergeCell ref="AB77:AG80"/>
    <mergeCell ref="E79:AA80"/>
    <mergeCell ref="E87:AA88"/>
    <mergeCell ref="AB87:AG90"/>
    <mergeCell ref="E89:AA90"/>
    <mergeCell ref="E37:AA38"/>
    <mergeCell ref="AB37:AG40"/>
    <mergeCell ref="E39:AA40"/>
    <mergeCell ref="E47:AA48"/>
    <mergeCell ref="AB47:AG50"/>
    <mergeCell ref="E49:AA50"/>
    <mergeCell ref="E57:AA58"/>
    <mergeCell ref="AB57:AG60"/>
    <mergeCell ref="E59:AA60"/>
    <mergeCell ref="AU76:BO77"/>
    <mergeCell ref="AU78:BO79"/>
    <mergeCell ref="AU80:BO81"/>
    <mergeCell ref="AU82:BO83"/>
    <mergeCell ref="AU84:BO85"/>
    <mergeCell ref="AU86:BO87"/>
    <mergeCell ref="AU88:BO89"/>
    <mergeCell ref="AU90:BO91"/>
    <mergeCell ref="AB5:AG6"/>
    <mergeCell ref="AB7:AG10"/>
    <mergeCell ref="AB17:AG20"/>
    <mergeCell ref="AB27:AG30"/>
    <mergeCell ref="AB67:AG70"/>
    <mergeCell ref="BM25:BU29"/>
    <mergeCell ref="BD30:BL31"/>
    <mergeCell ref="BM30:BU31"/>
    <mergeCell ref="AU27:BC32"/>
    <mergeCell ref="AJ60:AM62"/>
    <mergeCell ref="AN60:AO62"/>
    <mergeCell ref="AJ50:AM52"/>
    <mergeCell ref="AN50:AO52"/>
    <mergeCell ref="AP50:AS52"/>
    <mergeCell ref="E53:AL54"/>
    <mergeCell ref="AM53:AN55"/>
    <mergeCell ref="BW7:CD10"/>
    <mergeCell ref="BD5:BU10"/>
    <mergeCell ref="BR1:DH3"/>
    <mergeCell ref="G1:BI3"/>
    <mergeCell ref="AU5:BB6"/>
    <mergeCell ref="DI1:DS3"/>
    <mergeCell ref="BJ1:BQ3"/>
    <mergeCell ref="BW5:CD6"/>
    <mergeCell ref="E17:AA18"/>
    <mergeCell ref="AP5:AS6"/>
    <mergeCell ref="AP7:AS9"/>
    <mergeCell ref="AL5:AO6"/>
    <mergeCell ref="AL7:AO9"/>
    <mergeCell ref="BM14:BU18"/>
    <mergeCell ref="E11:AG12"/>
    <mergeCell ref="A1:F3"/>
    <mergeCell ref="AU7:BB10"/>
    <mergeCell ref="AH5:AK6"/>
    <mergeCell ref="AH7:AK9"/>
    <mergeCell ref="A7:D8"/>
    <mergeCell ref="A9:D10"/>
    <mergeCell ref="A5:AA6"/>
    <mergeCell ref="E7:AA8"/>
    <mergeCell ref="E9:AA10"/>
    <mergeCell ref="A77:D78"/>
    <mergeCell ref="A67:D68"/>
    <mergeCell ref="E51:AG52"/>
    <mergeCell ref="A49:D50"/>
    <mergeCell ref="AH50:AI52"/>
    <mergeCell ref="AP40:AS42"/>
    <mergeCell ref="E31:AG32"/>
    <mergeCell ref="E33:AL34"/>
    <mergeCell ref="AM33:AN35"/>
    <mergeCell ref="A47:D48"/>
    <mergeCell ref="AH47:AK49"/>
    <mergeCell ref="AL47:AO49"/>
    <mergeCell ref="AP47:AS49"/>
    <mergeCell ref="A37:D38"/>
    <mergeCell ref="AH37:AK39"/>
    <mergeCell ref="AL37:AO39"/>
    <mergeCell ref="AP37:AS39"/>
    <mergeCell ref="A39:D40"/>
    <mergeCell ref="AH40:AI42"/>
    <mergeCell ref="AJ40:AM42"/>
    <mergeCell ref="AN40:AO42"/>
    <mergeCell ref="AP57:AS59"/>
    <mergeCell ref="A59:D60"/>
    <mergeCell ref="AH60:AI62"/>
    <mergeCell ref="A17:D18"/>
    <mergeCell ref="AH17:AK19"/>
    <mergeCell ref="AL17:AO19"/>
    <mergeCell ref="AP17:AS19"/>
    <mergeCell ref="A19:D20"/>
    <mergeCell ref="AH20:AI22"/>
    <mergeCell ref="AN10:AO12"/>
    <mergeCell ref="AP10:AS12"/>
    <mergeCell ref="AJ10:AM12"/>
    <mergeCell ref="AH10:AI12"/>
    <mergeCell ref="AP20:AS22"/>
    <mergeCell ref="E19:AA20"/>
    <mergeCell ref="AJ20:AM22"/>
    <mergeCell ref="AN20:AO22"/>
    <mergeCell ref="E21:AG22"/>
    <mergeCell ref="AM16:AN16"/>
    <mergeCell ref="DP47:DS48"/>
    <mergeCell ref="CX47:CY48"/>
    <mergeCell ref="A27:D28"/>
    <mergeCell ref="AH27:AK29"/>
    <mergeCell ref="AL27:AO29"/>
    <mergeCell ref="AP27:AS29"/>
    <mergeCell ref="AH30:AI32"/>
    <mergeCell ref="AJ30:AM32"/>
    <mergeCell ref="AN30:AO32"/>
    <mergeCell ref="AP30:AS32"/>
    <mergeCell ref="A29:D30"/>
    <mergeCell ref="E27:AA28"/>
    <mergeCell ref="E29:AA30"/>
    <mergeCell ref="BD25:BL29"/>
    <mergeCell ref="DJ43:DK44"/>
    <mergeCell ref="DP41:DS42"/>
    <mergeCell ref="DP43:DS44"/>
    <mergeCell ref="DH41:DI42"/>
    <mergeCell ref="DJ41:DK42"/>
    <mergeCell ref="DD43:DE44"/>
    <mergeCell ref="DF43:DG44"/>
    <mergeCell ref="DD41:DE42"/>
    <mergeCell ref="DF41:DG42"/>
    <mergeCell ref="DH43:DI44"/>
    <mergeCell ref="DO20:DS21"/>
    <mergeCell ref="CF22:DN23"/>
    <mergeCell ref="DO22:DS23"/>
    <mergeCell ref="DO34:DS35"/>
    <mergeCell ref="CF36:DN37"/>
    <mergeCell ref="DO36:DS37"/>
    <mergeCell ref="CF38:DN39"/>
    <mergeCell ref="DO38:DS39"/>
    <mergeCell ref="DO24:DS25"/>
    <mergeCell ref="DO26:DS27"/>
    <mergeCell ref="DO28:DS29"/>
    <mergeCell ref="DO30:DS31"/>
    <mergeCell ref="CF32:DN33"/>
    <mergeCell ref="DO32:DS33"/>
    <mergeCell ref="CF34:DN35"/>
    <mergeCell ref="CF24:DN25"/>
    <mergeCell ref="CF26:DN27"/>
    <mergeCell ref="CF28:DN29"/>
    <mergeCell ref="CF30:DN31"/>
    <mergeCell ref="A61:D66"/>
    <mergeCell ref="A57:D58"/>
    <mergeCell ref="AM46:AN46"/>
    <mergeCell ref="E41:AG42"/>
    <mergeCell ref="DB47:DC48"/>
    <mergeCell ref="AU21:BC26"/>
    <mergeCell ref="BR22:BU24"/>
    <mergeCell ref="CX43:CY44"/>
    <mergeCell ref="CZ43:DA44"/>
    <mergeCell ref="DB43:DC44"/>
    <mergeCell ref="CX41:CY42"/>
    <mergeCell ref="CZ41:DA42"/>
    <mergeCell ref="DB41:DC42"/>
    <mergeCell ref="CZ47:DA48"/>
    <mergeCell ref="E23:AL24"/>
    <mergeCell ref="AM23:AN25"/>
    <mergeCell ref="AO23:AO25"/>
    <mergeCell ref="AP23:AS26"/>
    <mergeCell ref="E25:AL26"/>
    <mergeCell ref="AM26:AN26"/>
    <mergeCell ref="AP60:AS62"/>
    <mergeCell ref="E61:AG62"/>
    <mergeCell ref="CF20:DN21"/>
    <mergeCell ref="DL41:DO42"/>
    <mergeCell ref="AU11:BF13"/>
    <mergeCell ref="BG11:BH13"/>
    <mergeCell ref="AU33:BF35"/>
    <mergeCell ref="BG33:BH35"/>
    <mergeCell ref="BM11:BX13"/>
    <mergeCell ref="BY11:BZ13"/>
    <mergeCell ref="BM33:BX35"/>
    <mergeCell ref="BY33:BZ35"/>
    <mergeCell ref="CA33:CD35"/>
    <mergeCell ref="BI33:BL35"/>
    <mergeCell ref="BM19:BU20"/>
    <mergeCell ref="BV19:CD20"/>
    <mergeCell ref="BI11:BL13"/>
    <mergeCell ref="AU19:BC20"/>
    <mergeCell ref="BD19:BL20"/>
    <mergeCell ref="CA11:CD13"/>
    <mergeCell ref="AU14:BC18"/>
    <mergeCell ref="BD14:BL18"/>
    <mergeCell ref="BV14:CD18"/>
    <mergeCell ref="DO11:DS12"/>
    <mergeCell ref="CF13:DN14"/>
    <mergeCell ref="DO13:DS14"/>
    <mergeCell ref="CF15:DN16"/>
    <mergeCell ref="DO15:DS16"/>
    <mergeCell ref="CF17:DN18"/>
    <mergeCell ref="DO17:DS18"/>
    <mergeCell ref="DO5:DS6"/>
    <mergeCell ref="CF5:DN6"/>
    <mergeCell ref="CF7:DN8"/>
    <mergeCell ref="DO7:DS8"/>
    <mergeCell ref="CF9:DN10"/>
    <mergeCell ref="DO9:DS10"/>
    <mergeCell ref="CF11:DN12"/>
    <mergeCell ref="DL43:DO44"/>
    <mergeCell ref="DD47:DE48"/>
    <mergeCell ref="DF47:DG48"/>
    <mergeCell ref="A97:D99"/>
    <mergeCell ref="AN90:AO92"/>
    <mergeCell ref="AP90:AS92"/>
    <mergeCell ref="E91:AG92"/>
    <mergeCell ref="E93:AL94"/>
    <mergeCell ref="AM93:AN95"/>
    <mergeCell ref="AO93:AO95"/>
    <mergeCell ref="A87:D88"/>
    <mergeCell ref="AH87:AK89"/>
    <mergeCell ref="A89:D90"/>
    <mergeCell ref="AH90:AI92"/>
    <mergeCell ref="AJ90:AM92"/>
    <mergeCell ref="AL87:AO89"/>
    <mergeCell ref="AP87:AS89"/>
    <mergeCell ref="AM97:AN99"/>
    <mergeCell ref="AO97:AS99"/>
    <mergeCell ref="E97:H99"/>
    <mergeCell ref="I97:M99"/>
    <mergeCell ref="R97:S99"/>
    <mergeCell ref="T97:X99"/>
    <mergeCell ref="Y97:Z99"/>
    <mergeCell ref="AA97:AE99"/>
    <mergeCell ref="A81:D86"/>
    <mergeCell ref="A91:D96"/>
    <mergeCell ref="E13:AL14"/>
    <mergeCell ref="E15:AL16"/>
    <mergeCell ref="AP13:AS16"/>
    <mergeCell ref="AM13:AN15"/>
    <mergeCell ref="A11:D16"/>
    <mergeCell ref="A21:D26"/>
    <mergeCell ref="A31:D36"/>
    <mergeCell ref="A41:D46"/>
    <mergeCell ref="A51:D56"/>
    <mergeCell ref="AH80:AI82"/>
    <mergeCell ref="AJ80:AM82"/>
    <mergeCell ref="AN80:AO82"/>
    <mergeCell ref="AP80:AS82"/>
    <mergeCell ref="E81:AG82"/>
    <mergeCell ref="E71:AG72"/>
    <mergeCell ref="AH77:AK79"/>
    <mergeCell ref="AL77:AO79"/>
    <mergeCell ref="AP77:AS79"/>
    <mergeCell ref="A79:D80"/>
    <mergeCell ref="AO13:AO15"/>
    <mergeCell ref="AH57:AK59"/>
    <mergeCell ref="AL57:AO59"/>
    <mergeCell ref="AO33:AO35"/>
    <mergeCell ref="AP33:AS36"/>
    <mergeCell ref="E35:AL36"/>
    <mergeCell ref="AM36:AN36"/>
    <mergeCell ref="E43:AL44"/>
    <mergeCell ref="AM43:AN45"/>
    <mergeCell ref="AO43:AO45"/>
    <mergeCell ref="AP43:AS46"/>
    <mergeCell ref="E45:AL46"/>
    <mergeCell ref="AO53:AO55"/>
    <mergeCell ref="AP53:AS56"/>
    <mergeCell ref="A71:D76"/>
    <mergeCell ref="AL67:AO69"/>
    <mergeCell ref="AP67:AS69"/>
    <mergeCell ref="A69:D70"/>
    <mergeCell ref="AH70:AI72"/>
    <mergeCell ref="AJ70:AM72"/>
    <mergeCell ref="AN70:AO72"/>
    <mergeCell ref="AP70:AS72"/>
    <mergeCell ref="E67:AA68"/>
    <mergeCell ref="E69:AA70"/>
    <mergeCell ref="AH67:AK69"/>
    <mergeCell ref="CF43:CW44"/>
    <mergeCell ref="CF41:CW42"/>
    <mergeCell ref="CF45:CL46"/>
    <mergeCell ref="CM45:DS46"/>
    <mergeCell ref="E83:AL84"/>
    <mergeCell ref="AM83:AN85"/>
    <mergeCell ref="AO83:AO85"/>
    <mergeCell ref="AP83:AS86"/>
    <mergeCell ref="E85:AL86"/>
    <mergeCell ref="AM86:AN86"/>
    <mergeCell ref="E73:AL74"/>
    <mergeCell ref="AM73:AN75"/>
    <mergeCell ref="AO73:AO75"/>
    <mergeCell ref="AP73:AS76"/>
    <mergeCell ref="E75:AL76"/>
    <mergeCell ref="AM76:AN76"/>
    <mergeCell ref="E55:AL56"/>
    <mergeCell ref="AM56:AN56"/>
    <mergeCell ref="E63:AL64"/>
    <mergeCell ref="AM63:AN65"/>
    <mergeCell ref="AO63:AO65"/>
    <mergeCell ref="AP63:AS66"/>
    <mergeCell ref="DL47:DO48"/>
    <mergeCell ref="CF47:CW48"/>
    <mergeCell ref="DH47:DI48"/>
    <mergeCell ref="DJ47:DK48"/>
    <mergeCell ref="AP93:AS96"/>
    <mergeCell ref="E95:AL96"/>
    <mergeCell ref="AM96:AN96"/>
    <mergeCell ref="E65:AL66"/>
    <mergeCell ref="AM66:AN66"/>
    <mergeCell ref="CZ95:DA96"/>
    <mergeCell ref="DB95:DC96"/>
    <mergeCell ref="CX95:CY96"/>
    <mergeCell ref="CF95:CW96"/>
    <mergeCell ref="CZ91:DA92"/>
    <mergeCell ref="DB91:DC92"/>
    <mergeCell ref="CX91:CY92"/>
    <mergeCell ref="CF91:CW92"/>
    <mergeCell ref="CZ87:DA88"/>
    <mergeCell ref="DB87:DC88"/>
    <mergeCell ref="CX87:CY88"/>
    <mergeCell ref="CF87:CW88"/>
    <mergeCell ref="CF85:CL86"/>
    <mergeCell ref="CF53:CL54"/>
    <mergeCell ref="CM53:DS54"/>
    <mergeCell ref="CF55:CW56"/>
    <mergeCell ref="DD55:DE56"/>
    <mergeCell ref="DF55:DG56"/>
    <mergeCell ref="DH55:DI56"/>
    <mergeCell ref="DJ55:DK56"/>
    <mergeCell ref="DL55:DO56"/>
    <mergeCell ref="CF49:CL50"/>
    <mergeCell ref="CM49:DS50"/>
    <mergeCell ref="CF51:CW52"/>
    <mergeCell ref="DD51:DE52"/>
    <mergeCell ref="DF51:DG52"/>
    <mergeCell ref="DH51:DI52"/>
    <mergeCell ref="DJ51:DK52"/>
    <mergeCell ref="DL51:DO52"/>
    <mergeCell ref="DB55:DC56"/>
    <mergeCell ref="DP55:DS56"/>
    <mergeCell ref="CX55:CY56"/>
    <mergeCell ref="CZ55:DA56"/>
    <mergeCell ref="DP51:DS52"/>
    <mergeCell ref="CX51:CY52"/>
    <mergeCell ref="CZ51:DA52"/>
    <mergeCell ref="DB51:DC52"/>
    <mergeCell ref="CF61:CL62"/>
    <mergeCell ref="CM61:DS62"/>
    <mergeCell ref="CF63:CW64"/>
    <mergeCell ref="DD63:DE64"/>
    <mergeCell ref="DF63:DG64"/>
    <mergeCell ref="DH63:DI64"/>
    <mergeCell ref="DJ63:DK64"/>
    <mergeCell ref="DL63:DO64"/>
    <mergeCell ref="CF57:CL58"/>
    <mergeCell ref="CM57:DS58"/>
    <mergeCell ref="CF59:CW60"/>
    <mergeCell ref="DD59:DE60"/>
    <mergeCell ref="DF59:DG60"/>
    <mergeCell ref="DH59:DI60"/>
    <mergeCell ref="DJ59:DK60"/>
    <mergeCell ref="DL59:DO60"/>
    <mergeCell ref="DB63:DC64"/>
    <mergeCell ref="DP63:DS64"/>
    <mergeCell ref="CX63:CY64"/>
    <mergeCell ref="CZ63:DA64"/>
    <mergeCell ref="DP59:DS60"/>
    <mergeCell ref="CX59:CY60"/>
    <mergeCell ref="CZ59:DA60"/>
    <mergeCell ref="DB59:DC60"/>
    <mergeCell ref="CF71:CW72"/>
    <mergeCell ref="DD71:DE72"/>
    <mergeCell ref="DF71:DG72"/>
    <mergeCell ref="DH71:DI72"/>
    <mergeCell ref="DJ71:DK72"/>
    <mergeCell ref="DL71:DO72"/>
    <mergeCell ref="CF65:CL66"/>
    <mergeCell ref="CM65:DS66"/>
    <mergeCell ref="CF67:CW68"/>
    <mergeCell ref="DD67:DE68"/>
    <mergeCell ref="DF67:DG68"/>
    <mergeCell ref="DH67:DI68"/>
    <mergeCell ref="DJ67:DK68"/>
    <mergeCell ref="DL67:DO68"/>
    <mergeCell ref="CX71:CY72"/>
    <mergeCell ref="CZ71:DA72"/>
    <mergeCell ref="DB71:DC72"/>
    <mergeCell ref="DP71:DS72"/>
    <mergeCell ref="CF69:CL70"/>
    <mergeCell ref="CM69:DS70"/>
    <mergeCell ref="CX67:CY68"/>
    <mergeCell ref="CZ67:DA68"/>
    <mergeCell ref="DB67:DC68"/>
    <mergeCell ref="DP67:DS68"/>
    <mergeCell ref="CF77:CL78"/>
    <mergeCell ref="CM77:DS78"/>
    <mergeCell ref="CF79:CW80"/>
    <mergeCell ref="DD79:DE80"/>
    <mergeCell ref="DF79:DG80"/>
    <mergeCell ref="DH79:DI80"/>
    <mergeCell ref="DJ79:DK80"/>
    <mergeCell ref="DL79:DO80"/>
    <mergeCell ref="CF73:CL74"/>
    <mergeCell ref="CM73:DS74"/>
    <mergeCell ref="CF75:CW76"/>
    <mergeCell ref="DD75:DE76"/>
    <mergeCell ref="DF75:DG76"/>
    <mergeCell ref="DH75:DI76"/>
    <mergeCell ref="DJ75:DK76"/>
    <mergeCell ref="DL75:DO76"/>
    <mergeCell ref="DB79:DC80"/>
    <mergeCell ref="DP79:DS80"/>
    <mergeCell ref="CX79:CY80"/>
    <mergeCell ref="CZ79:DA80"/>
    <mergeCell ref="DP75:DS76"/>
    <mergeCell ref="CX75:CY76"/>
    <mergeCell ref="CZ75:DA76"/>
    <mergeCell ref="DB75:DC76"/>
    <mergeCell ref="DD87:DE88"/>
    <mergeCell ref="DF87:DG88"/>
    <mergeCell ref="DH87:DI88"/>
    <mergeCell ref="DJ87:DK88"/>
    <mergeCell ref="DL87:DO88"/>
    <mergeCell ref="CF89:CL90"/>
    <mergeCell ref="CM89:DS90"/>
    <mergeCell ref="CF81:CL82"/>
    <mergeCell ref="CM81:DS82"/>
    <mergeCell ref="CF83:CW84"/>
    <mergeCell ref="DD83:DE84"/>
    <mergeCell ref="DF83:DG84"/>
    <mergeCell ref="DH83:DI84"/>
    <mergeCell ref="DJ83:DK84"/>
    <mergeCell ref="DL83:DO84"/>
    <mergeCell ref="DP87:DS88"/>
    <mergeCell ref="CM85:DS86"/>
    <mergeCell ref="CX83:CY84"/>
    <mergeCell ref="CZ83:DA84"/>
    <mergeCell ref="DB83:DC84"/>
    <mergeCell ref="DP83:DS84"/>
    <mergeCell ref="DD95:DE96"/>
    <mergeCell ref="DF95:DG96"/>
    <mergeCell ref="DH95:DI96"/>
    <mergeCell ref="DJ95:DK96"/>
    <mergeCell ref="DL95:DO96"/>
    <mergeCell ref="CF97:CL98"/>
    <mergeCell ref="CM97:DS98"/>
    <mergeCell ref="DD91:DE92"/>
    <mergeCell ref="DF91:DG92"/>
    <mergeCell ref="DH91:DI92"/>
    <mergeCell ref="DJ91:DK92"/>
    <mergeCell ref="DL91:DO92"/>
    <mergeCell ref="CF93:CL94"/>
    <mergeCell ref="CM93:DS94"/>
    <mergeCell ref="DP95:DS96"/>
    <mergeCell ref="DP91:DS92"/>
    <mergeCell ref="BM44:CD46"/>
    <mergeCell ref="BM47:CD51"/>
    <mergeCell ref="BM52:CD53"/>
    <mergeCell ref="BD22:BO24"/>
    <mergeCell ref="BP22:BQ24"/>
    <mergeCell ref="BD47:BL51"/>
    <mergeCell ref="AU52:BC53"/>
    <mergeCell ref="BD52:BL53"/>
    <mergeCell ref="AU44:BF46"/>
    <mergeCell ref="BG44:BH46"/>
    <mergeCell ref="BI44:BL46"/>
    <mergeCell ref="AU47:BC51"/>
    <mergeCell ref="AU36:BC40"/>
    <mergeCell ref="BD36:BL40"/>
    <mergeCell ref="AU41:BC42"/>
    <mergeCell ref="BD41:BL42"/>
    <mergeCell ref="BM36:BU40"/>
    <mergeCell ref="BV36:CD40"/>
    <mergeCell ref="BM41:BU42"/>
    <mergeCell ref="BV41:CD42"/>
    <mergeCell ref="BV27:CD32"/>
    <mergeCell ref="BV21:CD26"/>
    <mergeCell ref="AU67:CD68"/>
    <mergeCell ref="AU69:CD70"/>
    <mergeCell ref="AU71:CD72"/>
    <mergeCell ref="BZ74:CD75"/>
    <mergeCell ref="AU55:CD56"/>
    <mergeCell ref="AU57:CD58"/>
    <mergeCell ref="AU59:CD60"/>
    <mergeCell ref="AU61:CD62"/>
    <mergeCell ref="AU63:CD64"/>
    <mergeCell ref="AU65:CD66"/>
    <mergeCell ref="AU74:BA75"/>
    <mergeCell ref="BU74:BY75"/>
    <mergeCell ref="BP74:BT75"/>
    <mergeCell ref="BB74:BO75"/>
    <mergeCell ref="BZ76:CD77"/>
    <mergeCell ref="BZ78:CD79"/>
    <mergeCell ref="BZ80:CD81"/>
    <mergeCell ref="BU76:BY77"/>
    <mergeCell ref="BP76:BT77"/>
    <mergeCell ref="BP78:BT79"/>
    <mergeCell ref="BU78:BY79"/>
    <mergeCell ref="BP80:BT81"/>
    <mergeCell ref="BU80:BY81"/>
    <mergeCell ref="AU96:BG97"/>
    <mergeCell ref="BH96:CD97"/>
    <mergeCell ref="BH98:CD99"/>
    <mergeCell ref="BZ88:CD89"/>
    <mergeCell ref="BZ90:CD91"/>
    <mergeCell ref="AU93:BG94"/>
    <mergeCell ref="BH93:CD94"/>
    <mergeCell ref="BZ82:CD83"/>
    <mergeCell ref="BZ84:CD85"/>
    <mergeCell ref="BZ86:CD87"/>
    <mergeCell ref="BP82:BT83"/>
    <mergeCell ref="BU82:BY83"/>
    <mergeCell ref="BP84:BT85"/>
    <mergeCell ref="BU84:BY85"/>
    <mergeCell ref="BP86:BT87"/>
    <mergeCell ref="BU86:BY87"/>
    <mergeCell ref="BP88:BT89"/>
    <mergeCell ref="BU88:BY89"/>
    <mergeCell ref="BP90:BT91"/>
    <mergeCell ref="BU90:BY91"/>
  </mergeCells>
  <pageMargins left="0.25" right="0.25" top="0.25" bottom="0.2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Umbrella Skills" prompt="Choose the Umbrella Skill." xr:uid="{3F3668C1-5060-4602-91BD-E3E04AA95B2E}">
          <x14:formula1>
            <xm:f>'Skill Calcs'!$F$2:$F$15</xm:f>
          </x14:formula1>
          <xm:sqref>E9:AA10 E19:AA20 E29:AA30 E39:AA40 E49:AA50 E59:AA60 E69:AA70 E79:AA80 E89:AA90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EE79-B52D-4A04-91C7-8C08CF69874F}">
  <dimension ref="A1:W15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V6" sqref="V6"/>
    </sheetView>
  </sheetViews>
  <sheetFormatPr defaultRowHeight="14.5" x14ac:dyDescent="0.35"/>
  <cols>
    <col min="1" max="1" width="2.83203125" bestFit="1" customWidth="1"/>
    <col min="2" max="3" width="2.75" bestFit="1" customWidth="1"/>
    <col min="4" max="4" width="12.4140625" bestFit="1" customWidth="1"/>
    <col min="5" max="5" width="1.75" bestFit="1" customWidth="1"/>
    <col min="6" max="6" width="15.4140625" customWidth="1"/>
    <col min="7" max="7" width="8.25" customWidth="1"/>
    <col min="8" max="8" width="1.75" bestFit="1" customWidth="1"/>
    <col min="9" max="9" width="11.58203125" bestFit="1" customWidth="1"/>
    <col min="10" max="10" width="9.9140625" bestFit="1" customWidth="1"/>
    <col min="11" max="11" width="13.75" bestFit="1" customWidth="1"/>
    <col min="12" max="12" width="11.6640625" bestFit="1" customWidth="1"/>
    <col min="13" max="13" width="11" bestFit="1" customWidth="1"/>
    <col min="14" max="14" width="3.33203125" customWidth="1"/>
    <col min="15" max="15" width="4.1640625" bestFit="1" customWidth="1"/>
    <col min="16" max="16" width="4.83203125" bestFit="1" customWidth="1"/>
    <col min="17" max="17" width="5.08203125" bestFit="1" customWidth="1"/>
    <col min="18" max="18" width="5.9140625" bestFit="1" customWidth="1"/>
    <col min="19" max="19" width="4.9140625" bestFit="1" customWidth="1"/>
    <col min="20" max="20" width="5.83203125" bestFit="1" customWidth="1"/>
    <col min="21" max="21" width="5.9140625" bestFit="1" customWidth="1"/>
  </cols>
  <sheetData>
    <row r="1" spans="1:23" x14ac:dyDescent="0.35">
      <c r="A1" t="s">
        <v>74</v>
      </c>
      <c r="B1" t="s">
        <v>75</v>
      </c>
      <c r="C1" t="s">
        <v>76</v>
      </c>
      <c r="D1" t="s">
        <v>150</v>
      </c>
      <c r="F1" s="10" t="s">
        <v>61</v>
      </c>
      <c r="G1" s="10" t="s">
        <v>151</v>
      </c>
      <c r="O1" t="s">
        <v>21</v>
      </c>
      <c r="P1" t="s">
        <v>77</v>
      </c>
      <c r="Q1" t="s">
        <v>78</v>
      </c>
      <c r="R1" t="s">
        <v>79</v>
      </c>
      <c r="S1" t="s">
        <v>29</v>
      </c>
      <c r="T1" t="s">
        <v>152</v>
      </c>
      <c r="U1" t="s">
        <v>153</v>
      </c>
      <c r="V1" t="s">
        <v>210</v>
      </c>
      <c r="W1" t="s">
        <v>211</v>
      </c>
    </row>
    <row r="2" spans="1:23" x14ac:dyDescent="0.35">
      <c r="A2">
        <v>0</v>
      </c>
      <c r="B2">
        <v>0</v>
      </c>
      <c r="C2">
        <v>0</v>
      </c>
      <c r="F2" t="s">
        <v>58</v>
      </c>
      <c r="G2" t="s">
        <v>4</v>
      </c>
      <c r="O2">
        <v>1</v>
      </c>
      <c r="P2">
        <f>SR_1</f>
        <v>6</v>
      </c>
      <c r="Q2" cm="1">
        <f t="array" ref="Q2">INDEX('Tier Calcs'!$A$33:$N$46,T2,U2)</f>
        <v>2</v>
      </c>
      <c r="R2">
        <f>IF(S_TN_1&gt;0,S_TN_1,9)</f>
        <v>9</v>
      </c>
      <c r="S2">
        <f t="shared" ref="S2:S10" si="0">_xlfn.IFNA(LOOKUP(P2,$A$3:$C$14,$C$3:$C$14),"")</f>
        <v>21</v>
      </c>
      <c r="T2">
        <f>MATCH(P2,'Tier Calcs'!$A$33:$A$46,0)</f>
        <v>8</v>
      </c>
      <c r="U2">
        <f>MATCH(R2,'Tier Calcs'!$A$33:$N$33,0)</f>
        <v>11</v>
      </c>
    </row>
    <row r="3" spans="1:23" x14ac:dyDescent="0.35">
      <c r="A3">
        <v>1</v>
      </c>
      <c r="B3">
        <v>1</v>
      </c>
      <c r="C3">
        <f>B3</f>
        <v>1</v>
      </c>
      <c r="D3" t="s">
        <v>138</v>
      </c>
      <c r="F3" t="s">
        <v>48</v>
      </c>
      <c r="G3" t="s">
        <v>6</v>
      </c>
      <c r="O3">
        <v>2</v>
      </c>
      <c r="P3">
        <f>SR_2</f>
        <v>6</v>
      </c>
      <c r="Q3" cm="1">
        <f t="array" ref="Q3">INDEX('Tier Calcs'!$A$35:$N$46,T3,U3)</f>
        <v>3</v>
      </c>
      <c r="R3">
        <f>IF(S_TN_2&gt;0,S_TN_2,9)</f>
        <v>8</v>
      </c>
      <c r="S3">
        <f t="shared" si="0"/>
        <v>21</v>
      </c>
      <c r="T3">
        <f>MATCH(P3,'Tier Calcs'!$A$33:$A$46,0)</f>
        <v>8</v>
      </c>
      <c r="U3">
        <f>MATCH(R3,'Tier Calcs'!$A$33:$N$33,0)</f>
        <v>10</v>
      </c>
      <c r="V3">
        <v>12</v>
      </c>
    </row>
    <row r="4" spans="1:23" x14ac:dyDescent="0.35">
      <c r="A4">
        <v>2</v>
      </c>
      <c r="B4">
        <v>2</v>
      </c>
      <c r="C4">
        <f t="shared" ref="C4:C14" si="1">B4+C3</f>
        <v>3</v>
      </c>
      <c r="D4" t="s">
        <v>139</v>
      </c>
      <c r="F4" t="s">
        <v>81</v>
      </c>
      <c r="G4" t="s">
        <v>4</v>
      </c>
      <c r="O4">
        <v>3</v>
      </c>
      <c r="P4">
        <f>SR_3</f>
        <v>6</v>
      </c>
      <c r="Q4" cm="1">
        <f t="array" ref="Q4">INDEX('Tier Calcs'!$A$35:$N$46,T4,U4)</f>
        <v>3</v>
      </c>
      <c r="R4">
        <f>IF(S_TN_3&gt;0,S_TN_3,9)</f>
        <v>8</v>
      </c>
      <c r="S4">
        <f t="shared" si="0"/>
        <v>21</v>
      </c>
      <c r="T4">
        <f>MATCH(P4,'Tier Calcs'!$A$33:$A$46,0)</f>
        <v>8</v>
      </c>
      <c r="U4">
        <f>MATCH(R4,'Tier Calcs'!$A$33:$N$33,0)</f>
        <v>10</v>
      </c>
    </row>
    <row r="5" spans="1:23" x14ac:dyDescent="0.35">
      <c r="A5">
        <v>3</v>
      </c>
      <c r="B5">
        <v>3</v>
      </c>
      <c r="C5">
        <f t="shared" si="1"/>
        <v>6</v>
      </c>
      <c r="D5" t="s">
        <v>140</v>
      </c>
      <c r="F5" t="s">
        <v>60</v>
      </c>
      <c r="G5" t="s">
        <v>4</v>
      </c>
      <c r="O5">
        <v>4</v>
      </c>
      <c r="P5">
        <f>SR_4</f>
        <v>6</v>
      </c>
      <c r="Q5" cm="1">
        <f t="array" ref="Q5">INDEX('Tier Calcs'!$A$35:$N$46,T5,U5)</f>
        <v>4</v>
      </c>
      <c r="R5">
        <f>IF(S_TN_4&gt;0,S_TN_4,9)</f>
        <v>7</v>
      </c>
      <c r="S5">
        <f t="shared" si="0"/>
        <v>21</v>
      </c>
      <c r="T5">
        <f>MATCH(P5,'Tier Calcs'!$A$33:$A$46,0)</f>
        <v>8</v>
      </c>
      <c r="U5">
        <f>MATCH(R5,'Tier Calcs'!$A$33:$N$33,0)</f>
        <v>9</v>
      </c>
      <c r="V5">
        <v>6</v>
      </c>
    </row>
    <row r="6" spans="1:23" x14ac:dyDescent="0.35">
      <c r="A6">
        <v>4</v>
      </c>
      <c r="B6">
        <v>4</v>
      </c>
      <c r="C6">
        <f t="shared" si="1"/>
        <v>10</v>
      </c>
      <c r="D6" t="s">
        <v>141</v>
      </c>
      <c r="F6" t="s">
        <v>59</v>
      </c>
      <c r="G6" t="s">
        <v>4</v>
      </c>
      <c r="O6">
        <v>5</v>
      </c>
      <c r="P6">
        <f>SR_5</f>
        <v>3</v>
      </c>
      <c r="Q6" cm="1">
        <f t="array" ref="Q6">INDEX('Tier Calcs'!$A$35:$N$46,T6,U6)</f>
        <v>1</v>
      </c>
      <c r="R6">
        <f>IF(S_TN_5&gt;0,S_TN_5,9)</f>
        <v>9</v>
      </c>
      <c r="S6">
        <f t="shared" si="0"/>
        <v>6</v>
      </c>
      <c r="T6">
        <f>MATCH(P6,'Tier Calcs'!$A$33:$A$46,0)</f>
        <v>5</v>
      </c>
      <c r="U6">
        <f>MATCH(R6,'Tier Calcs'!$A$33:$N$33,0)</f>
        <v>11</v>
      </c>
    </row>
    <row r="7" spans="1:23" x14ac:dyDescent="0.35">
      <c r="A7">
        <v>5</v>
      </c>
      <c r="B7">
        <v>5</v>
      </c>
      <c r="C7">
        <f t="shared" si="1"/>
        <v>15</v>
      </c>
      <c r="D7" t="s">
        <v>142</v>
      </c>
      <c r="F7" t="s">
        <v>49</v>
      </c>
      <c r="G7" t="s">
        <v>6</v>
      </c>
      <c r="O7">
        <v>6</v>
      </c>
      <c r="P7">
        <f>SR_6</f>
        <v>4</v>
      </c>
      <c r="Q7" cm="1">
        <f t="array" ref="Q7">INDEX('Tier Calcs'!$A$35:$N$46,T7,U7)</f>
        <v>2</v>
      </c>
      <c r="R7">
        <f>IF(S_TN_6&gt;0,S_TN_6,9)</f>
        <v>9</v>
      </c>
      <c r="S7">
        <f t="shared" si="0"/>
        <v>10</v>
      </c>
      <c r="T7">
        <f>MATCH(P7,'Tier Calcs'!$A$33:$A$46,0)</f>
        <v>6</v>
      </c>
      <c r="U7">
        <f>MATCH(R7,'Tier Calcs'!$A$33:$N$33,0)</f>
        <v>11</v>
      </c>
    </row>
    <row r="8" spans="1:23" x14ac:dyDescent="0.35">
      <c r="A8">
        <v>6</v>
      </c>
      <c r="B8">
        <v>6</v>
      </c>
      <c r="C8">
        <f t="shared" si="1"/>
        <v>21</v>
      </c>
      <c r="D8" t="s">
        <v>143</v>
      </c>
      <c r="F8" t="s">
        <v>50</v>
      </c>
      <c r="G8" t="s">
        <v>6</v>
      </c>
      <c r="O8">
        <v>7</v>
      </c>
      <c r="P8">
        <f>SR_7</f>
        <v>3</v>
      </c>
      <c r="Q8" cm="1">
        <f t="array" ref="Q8">INDEX('Tier Calcs'!$A$35:$N$46,T8,U8)</f>
        <v>1</v>
      </c>
      <c r="R8">
        <f>IF(S_TN_7&gt;0,S_TN_7,9)</f>
        <v>9</v>
      </c>
      <c r="S8">
        <f t="shared" si="0"/>
        <v>6</v>
      </c>
      <c r="T8">
        <f>MATCH(P8,'Tier Calcs'!$A$33:$A$46,0)</f>
        <v>5</v>
      </c>
      <c r="U8">
        <f>MATCH(R8,'Tier Calcs'!$A$33:$N$33,0)</f>
        <v>11</v>
      </c>
    </row>
    <row r="9" spans="1:23" x14ac:dyDescent="0.35">
      <c r="A9">
        <v>7</v>
      </c>
      <c r="B9">
        <v>7</v>
      </c>
      <c r="C9">
        <f t="shared" si="1"/>
        <v>28</v>
      </c>
      <c r="D9" t="s">
        <v>144</v>
      </c>
      <c r="F9" t="s">
        <v>51</v>
      </c>
      <c r="G9" t="s">
        <v>6</v>
      </c>
      <c r="O9">
        <v>8</v>
      </c>
      <c r="P9">
        <f>SR_8</f>
        <v>3</v>
      </c>
      <c r="Q9" cm="1">
        <f t="array" ref="Q9">INDEX('Tier Calcs'!$A$35:$N$46,T9,U9)</f>
        <v>2</v>
      </c>
      <c r="R9">
        <f>IF(S_TN_8&gt;0,S_TN_8,9)</f>
        <v>8</v>
      </c>
      <c r="S9">
        <f t="shared" si="0"/>
        <v>6</v>
      </c>
      <c r="T9">
        <f>MATCH(P9,'Tier Calcs'!$A$33:$A$46,0)</f>
        <v>5</v>
      </c>
      <c r="U9">
        <f>MATCH(R9,'Tier Calcs'!$A$33:$N$33,0)</f>
        <v>10</v>
      </c>
    </row>
    <row r="10" spans="1:23" x14ac:dyDescent="0.35">
      <c r="A10">
        <v>8</v>
      </c>
      <c r="B10">
        <v>8</v>
      </c>
      <c r="C10">
        <f t="shared" si="1"/>
        <v>36</v>
      </c>
      <c r="D10" t="s">
        <v>145</v>
      </c>
      <c r="F10" t="s">
        <v>52</v>
      </c>
      <c r="G10" t="s">
        <v>6</v>
      </c>
      <c r="O10">
        <v>9</v>
      </c>
      <c r="P10">
        <f>SR_9</f>
        <v>3</v>
      </c>
      <c r="Q10" cm="1">
        <f t="array" ref="Q10">INDEX('Tier Calcs'!$A$35:$N$46,T10,U10)</f>
        <v>1</v>
      </c>
      <c r="R10">
        <f>IF(S_TN_9&gt;0,S_TN_9,9)</f>
        <v>9</v>
      </c>
      <c r="S10">
        <f t="shared" si="0"/>
        <v>6</v>
      </c>
      <c r="T10">
        <f>MATCH(P10,'Tier Calcs'!$A$33:$A$46,0)</f>
        <v>5</v>
      </c>
      <c r="U10">
        <f>MATCH(R10,'Tier Calcs'!$A$33:$N$33,0)</f>
        <v>11</v>
      </c>
    </row>
    <row r="11" spans="1:23" x14ac:dyDescent="0.35">
      <c r="A11">
        <v>9</v>
      </c>
      <c r="B11">
        <v>9</v>
      </c>
      <c r="C11">
        <f t="shared" si="1"/>
        <v>45</v>
      </c>
      <c r="D11" t="s">
        <v>146</v>
      </c>
      <c r="F11" t="s">
        <v>53</v>
      </c>
      <c r="G11" t="s">
        <v>6</v>
      </c>
      <c r="S11">
        <f>SUM(S2:S10,V2:V10,W2:W10)</f>
        <v>136</v>
      </c>
    </row>
    <row r="12" spans="1:23" x14ac:dyDescent="0.35">
      <c r="A12">
        <v>10</v>
      </c>
      <c r="B12">
        <v>10</v>
      </c>
      <c r="C12">
        <f t="shared" si="1"/>
        <v>55</v>
      </c>
      <c r="D12" t="s">
        <v>147</v>
      </c>
      <c r="F12" t="s">
        <v>54</v>
      </c>
      <c r="G12" t="s">
        <v>6</v>
      </c>
    </row>
    <row r="13" spans="1:23" x14ac:dyDescent="0.35">
      <c r="A13">
        <v>11</v>
      </c>
      <c r="B13">
        <v>11</v>
      </c>
      <c r="C13">
        <f t="shared" si="1"/>
        <v>66</v>
      </c>
      <c r="D13" t="s">
        <v>148</v>
      </c>
      <c r="F13" t="s">
        <v>55</v>
      </c>
      <c r="G13" t="s">
        <v>6</v>
      </c>
    </row>
    <row r="14" spans="1:23" x14ac:dyDescent="0.35">
      <c r="A14">
        <v>12</v>
      </c>
      <c r="B14">
        <v>12</v>
      </c>
      <c r="C14">
        <f t="shared" si="1"/>
        <v>78</v>
      </c>
      <c r="D14" t="s">
        <v>149</v>
      </c>
      <c r="F14" t="s">
        <v>56</v>
      </c>
      <c r="G14" t="s">
        <v>6</v>
      </c>
    </row>
    <row r="15" spans="1:23" x14ac:dyDescent="0.35">
      <c r="F15" t="s">
        <v>57</v>
      </c>
      <c r="G15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B304-0B93-4B57-9648-99C1D09CE7C4}">
  <dimension ref="A1:H5"/>
  <sheetViews>
    <sheetView workbookViewId="0">
      <selection activeCell="A6" sqref="A6"/>
    </sheetView>
  </sheetViews>
  <sheetFormatPr defaultRowHeight="14.5" x14ac:dyDescent="0.35"/>
  <cols>
    <col min="1" max="1" width="15.83203125" bestFit="1" customWidth="1"/>
    <col min="2" max="2" width="9.83203125" bestFit="1" customWidth="1"/>
    <col min="3" max="3" width="7.25" bestFit="1" customWidth="1"/>
    <col min="4" max="4" width="14.4140625" bestFit="1" customWidth="1"/>
    <col min="5" max="5" width="8" bestFit="1" customWidth="1"/>
    <col min="6" max="6" width="8.4140625" bestFit="1" customWidth="1"/>
    <col min="7" max="7" width="9.75" bestFit="1" customWidth="1"/>
    <col min="8" max="8" width="6.83203125" bestFit="1" customWidth="1"/>
  </cols>
  <sheetData>
    <row r="1" spans="1:8" x14ac:dyDescent="0.35">
      <c r="A1" t="s">
        <v>155</v>
      </c>
      <c r="B1" t="s">
        <v>156</v>
      </c>
      <c r="C1" t="s">
        <v>77</v>
      </c>
      <c r="D1" t="s">
        <v>157</v>
      </c>
      <c r="E1" t="s">
        <v>154</v>
      </c>
      <c r="F1" t="s">
        <v>79</v>
      </c>
      <c r="G1" t="s">
        <v>158</v>
      </c>
      <c r="H1" t="s">
        <v>34</v>
      </c>
    </row>
    <row r="2" spans="1:8" x14ac:dyDescent="0.35">
      <c r="A2" t="s">
        <v>208</v>
      </c>
      <c r="B2" t="s">
        <v>53</v>
      </c>
      <c r="C2">
        <v>6</v>
      </c>
    </row>
    <row r="3" spans="1:8" x14ac:dyDescent="0.35">
      <c r="A3" t="s">
        <v>196</v>
      </c>
      <c r="B3" t="s">
        <v>56</v>
      </c>
      <c r="C3">
        <v>6</v>
      </c>
      <c r="D3" t="s">
        <v>209</v>
      </c>
      <c r="E3" t="s">
        <v>186</v>
      </c>
    </row>
    <row r="4" spans="1:8" x14ac:dyDescent="0.35">
      <c r="A4" t="s">
        <v>207</v>
      </c>
      <c r="B4" t="s">
        <v>49</v>
      </c>
      <c r="C4">
        <v>6</v>
      </c>
      <c r="E4" t="s">
        <v>186</v>
      </c>
      <c r="H4">
        <v>5</v>
      </c>
    </row>
    <row r="5" spans="1:8" x14ac:dyDescent="0.35">
      <c r="A5" t="s">
        <v>197</v>
      </c>
      <c r="B5" t="s">
        <v>81</v>
      </c>
      <c r="C5">
        <v>6</v>
      </c>
      <c r="E5" t="s">
        <v>186</v>
      </c>
      <c r="G5">
        <v>2</v>
      </c>
      <c r="H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92EB-EE1A-476F-A7A3-4B88E8624F2D}">
  <dimension ref="A2:Q46"/>
  <sheetViews>
    <sheetView workbookViewId="0">
      <selection activeCell="A34" sqref="A34"/>
    </sheetView>
  </sheetViews>
  <sheetFormatPr defaultRowHeight="14.5" x14ac:dyDescent="0.35"/>
  <cols>
    <col min="1" max="1" width="6.33203125" bestFit="1" customWidth="1"/>
    <col min="2" max="5" width="8.75" bestFit="1" customWidth="1"/>
    <col min="6" max="6" width="7.5" bestFit="1" customWidth="1"/>
    <col min="7" max="17" width="8.75" bestFit="1" customWidth="1"/>
  </cols>
  <sheetData>
    <row r="2" spans="1:13" x14ac:dyDescent="0.35">
      <c r="A2" t="s">
        <v>133</v>
      </c>
      <c r="B2" t="s">
        <v>130</v>
      </c>
      <c r="C2" t="s">
        <v>128</v>
      </c>
      <c r="D2" t="s">
        <v>129</v>
      </c>
      <c r="E2" t="s">
        <v>127</v>
      </c>
      <c r="F2" t="s">
        <v>126</v>
      </c>
      <c r="G2" t="s">
        <v>125</v>
      </c>
      <c r="H2" t="s">
        <v>124</v>
      </c>
      <c r="I2" t="s">
        <v>123</v>
      </c>
      <c r="J2" s="28" t="s">
        <v>121</v>
      </c>
      <c r="K2" s="28" t="s">
        <v>122</v>
      </c>
      <c r="L2" t="s">
        <v>131</v>
      </c>
      <c r="M2" t="s">
        <v>132</v>
      </c>
    </row>
    <row r="3" spans="1:13" x14ac:dyDescent="0.35">
      <c r="A3">
        <v>1</v>
      </c>
      <c r="B3">
        <v>0</v>
      </c>
    </row>
    <row r="4" spans="1:13" x14ac:dyDescent="0.35">
      <c r="A4">
        <v>2</v>
      </c>
      <c r="B4">
        <v>0</v>
      </c>
      <c r="C4">
        <v>1</v>
      </c>
    </row>
    <row r="5" spans="1:13" x14ac:dyDescent="0.35">
      <c r="A5">
        <v>3</v>
      </c>
      <c r="B5">
        <v>0</v>
      </c>
      <c r="C5">
        <v>1</v>
      </c>
      <c r="D5">
        <v>1</v>
      </c>
    </row>
    <row r="6" spans="1:13" x14ac:dyDescent="0.35">
      <c r="A6">
        <v>4</v>
      </c>
      <c r="B6">
        <v>0</v>
      </c>
      <c r="C6">
        <v>1</v>
      </c>
      <c r="D6">
        <v>1</v>
      </c>
      <c r="E6">
        <v>1</v>
      </c>
    </row>
    <row r="7" spans="1:13" x14ac:dyDescent="0.35">
      <c r="A7">
        <v>5</v>
      </c>
      <c r="B7">
        <v>0</v>
      </c>
      <c r="C7">
        <v>1</v>
      </c>
      <c r="D7">
        <v>1</v>
      </c>
      <c r="E7">
        <v>1</v>
      </c>
      <c r="F7">
        <v>1</v>
      </c>
    </row>
    <row r="8" spans="1:13" x14ac:dyDescent="0.35">
      <c r="A8">
        <v>6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</row>
    <row r="9" spans="1:13" x14ac:dyDescent="0.35">
      <c r="A9">
        <v>7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13" x14ac:dyDescent="0.35">
      <c r="A10">
        <v>8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13" x14ac:dyDescent="0.35">
      <c r="A11">
        <v>9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3" x14ac:dyDescent="0.35">
      <c r="A12">
        <v>10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3" x14ac:dyDescent="0.35">
      <c r="A13">
        <v>11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3" x14ac:dyDescent="0.35">
      <c r="A14">
        <v>12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 x14ac:dyDescent="0.35">
      <c r="B15" s="29">
        <f t="shared" ref="B15:I15" si="0">(SUM(B3:B14)/12)</f>
        <v>0</v>
      </c>
      <c r="C15" s="29">
        <f t="shared" si="0"/>
        <v>0.91666666666666663</v>
      </c>
      <c r="D15" s="29">
        <f t="shared" si="0"/>
        <v>0.83333333333333337</v>
      </c>
      <c r="E15" s="29">
        <f t="shared" si="0"/>
        <v>0.75</v>
      </c>
      <c r="F15" s="29">
        <f t="shared" si="0"/>
        <v>0.66666666666666663</v>
      </c>
      <c r="G15" s="29">
        <f t="shared" si="0"/>
        <v>0.58333333333333337</v>
      </c>
      <c r="H15" s="29">
        <f t="shared" si="0"/>
        <v>0.5</v>
      </c>
      <c r="I15" s="29">
        <f t="shared" si="0"/>
        <v>0.41666666666666669</v>
      </c>
      <c r="J15" s="29">
        <f>(SUM(J3:J14)/12)</f>
        <v>0.33333333333333331</v>
      </c>
      <c r="K15" s="29">
        <f>(SUM(K3:K14)/12)</f>
        <v>0.25</v>
      </c>
      <c r="L15" s="29">
        <f t="shared" ref="L15:M15" si="1">(SUM(L3:L14)/12)</f>
        <v>0.16666666666666666</v>
      </c>
      <c r="M15" s="29">
        <f t="shared" si="1"/>
        <v>8.3333333333333329E-2</v>
      </c>
    </row>
    <row r="17" spans="1:17" x14ac:dyDescent="0.35">
      <c r="B17" s="316" t="s">
        <v>134</v>
      </c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</row>
    <row r="18" spans="1:17" x14ac:dyDescent="0.35">
      <c r="A18" t="s">
        <v>18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</row>
    <row r="19" spans="1:17" x14ac:dyDescent="0.35">
      <c r="A19">
        <v>1</v>
      </c>
      <c r="B19" s="30">
        <f>$B$15*B$18</f>
        <v>0</v>
      </c>
      <c r="C19" s="30">
        <f t="shared" ref="C19:M19" si="2">$B$15*C$18</f>
        <v>0</v>
      </c>
      <c r="D19" s="30">
        <f t="shared" si="2"/>
        <v>0</v>
      </c>
      <c r="E19" s="30">
        <f t="shared" si="2"/>
        <v>0</v>
      </c>
      <c r="F19" s="30">
        <f t="shared" si="2"/>
        <v>0</v>
      </c>
      <c r="G19" s="30">
        <f t="shared" si="2"/>
        <v>0</v>
      </c>
      <c r="H19" s="30">
        <f t="shared" si="2"/>
        <v>0</v>
      </c>
      <c r="I19" s="30">
        <f t="shared" si="2"/>
        <v>0</v>
      </c>
      <c r="J19" s="30">
        <f t="shared" si="2"/>
        <v>0</v>
      </c>
      <c r="K19" s="30">
        <f t="shared" si="2"/>
        <v>0</v>
      </c>
      <c r="L19" s="30">
        <f t="shared" si="2"/>
        <v>0</v>
      </c>
      <c r="M19" s="30">
        <f t="shared" si="2"/>
        <v>0</v>
      </c>
      <c r="N19" s="30"/>
      <c r="O19" s="30"/>
      <c r="P19" s="30"/>
      <c r="Q19" s="30"/>
    </row>
    <row r="20" spans="1:17" x14ac:dyDescent="0.35">
      <c r="A20">
        <v>2</v>
      </c>
      <c r="B20" s="30">
        <f>$C$15*B$18</f>
        <v>0.91666666666666663</v>
      </c>
      <c r="C20" s="31">
        <f t="shared" ref="C20:M20" si="3">$C$15*C$18</f>
        <v>1.8333333333333333</v>
      </c>
      <c r="D20" s="32">
        <f t="shared" si="3"/>
        <v>2.75</v>
      </c>
      <c r="E20" s="33">
        <f t="shared" si="3"/>
        <v>3.6666666666666665</v>
      </c>
      <c r="F20" s="34">
        <f t="shared" si="3"/>
        <v>4.583333333333333</v>
      </c>
      <c r="G20" s="35">
        <f t="shared" si="3"/>
        <v>5.5</v>
      </c>
      <c r="H20" s="31">
        <f t="shared" si="3"/>
        <v>6.4166666666666661</v>
      </c>
      <c r="I20" s="32">
        <f t="shared" si="3"/>
        <v>7.333333333333333</v>
      </c>
      <c r="J20" s="33">
        <f t="shared" si="3"/>
        <v>8.25</v>
      </c>
      <c r="K20" s="34">
        <f t="shared" si="3"/>
        <v>9.1666666666666661</v>
      </c>
      <c r="L20" s="36">
        <f t="shared" si="3"/>
        <v>10.083333333333332</v>
      </c>
      <c r="M20" s="31">
        <f t="shared" si="3"/>
        <v>11</v>
      </c>
      <c r="N20" s="31"/>
      <c r="O20" s="32"/>
      <c r="P20" s="33"/>
      <c r="Q20" s="34"/>
    </row>
    <row r="21" spans="1:17" x14ac:dyDescent="0.35">
      <c r="A21" s="47">
        <v>3</v>
      </c>
      <c r="B21" s="48">
        <f>$D$15*B$18</f>
        <v>0.83333333333333337</v>
      </c>
      <c r="C21" s="49">
        <f t="shared" ref="C21:M21" si="4">$D$15*C$18</f>
        <v>1.6666666666666667</v>
      </c>
      <c r="D21" s="50">
        <f t="shared" si="4"/>
        <v>2.5</v>
      </c>
      <c r="E21" s="51">
        <f t="shared" si="4"/>
        <v>3.3333333333333335</v>
      </c>
      <c r="F21" s="52">
        <f t="shared" si="4"/>
        <v>4.166666666666667</v>
      </c>
      <c r="G21" s="53">
        <f t="shared" si="4"/>
        <v>5</v>
      </c>
      <c r="H21" s="53">
        <f t="shared" si="4"/>
        <v>5.8333333333333339</v>
      </c>
      <c r="I21" s="49">
        <f t="shared" si="4"/>
        <v>6.666666666666667</v>
      </c>
      <c r="J21" s="50">
        <f t="shared" si="4"/>
        <v>7.5</v>
      </c>
      <c r="K21" s="51">
        <f t="shared" si="4"/>
        <v>8.3333333333333339</v>
      </c>
      <c r="L21" s="52">
        <f t="shared" si="4"/>
        <v>9.1666666666666679</v>
      </c>
      <c r="M21" s="54">
        <f t="shared" si="4"/>
        <v>10</v>
      </c>
      <c r="N21" s="36"/>
      <c r="O21" s="31"/>
      <c r="P21" s="32"/>
      <c r="Q21" s="33"/>
    </row>
    <row r="22" spans="1:17" x14ac:dyDescent="0.35">
      <c r="A22">
        <v>4</v>
      </c>
      <c r="B22" s="30">
        <f>$E$15*B$18</f>
        <v>0.75</v>
      </c>
      <c r="C22" s="31">
        <f t="shared" ref="C22:M22" si="5">$E$15*C$18</f>
        <v>1.5</v>
      </c>
      <c r="D22" s="32">
        <f t="shared" si="5"/>
        <v>2.25</v>
      </c>
      <c r="E22" s="33">
        <f t="shared" si="5"/>
        <v>3</v>
      </c>
      <c r="F22" s="33">
        <f t="shared" si="5"/>
        <v>3.75</v>
      </c>
      <c r="G22" s="34">
        <f t="shared" si="5"/>
        <v>4.5</v>
      </c>
      <c r="H22" s="35">
        <f t="shared" si="5"/>
        <v>5.25</v>
      </c>
      <c r="I22" s="31">
        <f t="shared" si="5"/>
        <v>6</v>
      </c>
      <c r="J22" s="31">
        <f t="shared" si="5"/>
        <v>6.75</v>
      </c>
      <c r="K22" s="32">
        <f t="shared" si="5"/>
        <v>7.5</v>
      </c>
      <c r="L22" s="33">
        <f t="shared" si="5"/>
        <v>8.25</v>
      </c>
      <c r="M22" s="34">
        <f t="shared" si="5"/>
        <v>9</v>
      </c>
      <c r="N22" s="34"/>
      <c r="O22" s="36"/>
      <c r="P22" s="31"/>
      <c r="Q22" s="32"/>
    </row>
    <row r="23" spans="1:17" x14ac:dyDescent="0.35">
      <c r="A23" s="47">
        <v>5</v>
      </c>
      <c r="B23" s="48">
        <f>$F$15*B$18</f>
        <v>0.66666666666666663</v>
      </c>
      <c r="C23" s="49">
        <f t="shared" ref="C23:M23" si="6">$F$15*C$18</f>
        <v>1.3333333333333333</v>
      </c>
      <c r="D23" s="50">
        <f t="shared" si="6"/>
        <v>2</v>
      </c>
      <c r="E23" s="50">
        <f t="shared" si="6"/>
        <v>2.6666666666666665</v>
      </c>
      <c r="F23" s="51">
        <f t="shared" si="6"/>
        <v>3.333333333333333</v>
      </c>
      <c r="G23" s="52">
        <f t="shared" si="6"/>
        <v>4</v>
      </c>
      <c r="H23" s="52">
        <f t="shared" si="6"/>
        <v>4.6666666666666661</v>
      </c>
      <c r="I23" s="53">
        <f t="shared" si="6"/>
        <v>5.333333333333333</v>
      </c>
      <c r="J23" s="49">
        <f t="shared" si="6"/>
        <v>6</v>
      </c>
      <c r="K23" s="49">
        <f t="shared" si="6"/>
        <v>6.6666666666666661</v>
      </c>
      <c r="L23" s="50">
        <f t="shared" si="6"/>
        <v>7.333333333333333</v>
      </c>
      <c r="M23" s="51">
        <f t="shared" si="6"/>
        <v>8</v>
      </c>
      <c r="N23" s="33"/>
      <c r="O23" s="34"/>
      <c r="P23" s="36"/>
      <c r="Q23" s="36"/>
    </row>
    <row r="24" spans="1:17" x14ac:dyDescent="0.35">
      <c r="A24">
        <v>6</v>
      </c>
      <c r="B24" s="30">
        <f>$G$15*B$18</f>
        <v>0.58333333333333337</v>
      </c>
      <c r="C24" s="31">
        <f t="shared" ref="C24:M24" si="7">$G$15*C$18</f>
        <v>1.1666666666666667</v>
      </c>
      <c r="D24" s="31">
        <f t="shared" si="7"/>
        <v>1.75</v>
      </c>
      <c r="E24" s="32">
        <f t="shared" si="7"/>
        <v>2.3333333333333335</v>
      </c>
      <c r="F24" s="32">
        <f t="shared" si="7"/>
        <v>2.916666666666667</v>
      </c>
      <c r="G24" s="33">
        <f t="shared" si="7"/>
        <v>3.5</v>
      </c>
      <c r="H24" s="34">
        <f t="shared" si="7"/>
        <v>4.0833333333333339</v>
      </c>
      <c r="I24" s="34">
        <f t="shared" si="7"/>
        <v>4.666666666666667</v>
      </c>
      <c r="J24" s="35">
        <f t="shared" si="7"/>
        <v>5.25</v>
      </c>
      <c r="K24" s="35">
        <f t="shared" si="7"/>
        <v>5.8333333333333339</v>
      </c>
      <c r="L24" s="31">
        <f t="shared" si="7"/>
        <v>6.416666666666667</v>
      </c>
      <c r="M24" s="32">
        <f t="shared" si="7"/>
        <v>7</v>
      </c>
      <c r="N24" s="32"/>
      <c r="O24" s="33"/>
      <c r="P24" s="33"/>
      <c r="Q24" s="34"/>
    </row>
    <row r="25" spans="1:17" x14ac:dyDescent="0.35">
      <c r="A25" s="47">
        <v>7</v>
      </c>
      <c r="B25" s="48">
        <f>$H$15*B$18</f>
        <v>0.5</v>
      </c>
      <c r="C25" s="49">
        <f t="shared" ref="C25:M25" si="8">$H$15*C$18</f>
        <v>1</v>
      </c>
      <c r="D25" s="49">
        <f t="shared" si="8"/>
        <v>1.5</v>
      </c>
      <c r="E25" s="50">
        <f t="shared" si="8"/>
        <v>2</v>
      </c>
      <c r="F25" s="50">
        <f t="shared" si="8"/>
        <v>2.5</v>
      </c>
      <c r="G25" s="51">
        <f t="shared" si="8"/>
        <v>3</v>
      </c>
      <c r="H25" s="51">
        <f t="shared" si="8"/>
        <v>3.5</v>
      </c>
      <c r="I25" s="52">
        <f t="shared" si="8"/>
        <v>4</v>
      </c>
      <c r="J25" s="52">
        <f t="shared" si="8"/>
        <v>4.5</v>
      </c>
      <c r="K25" s="53">
        <f t="shared" si="8"/>
        <v>5</v>
      </c>
      <c r="L25" s="53">
        <f t="shared" si="8"/>
        <v>5.5</v>
      </c>
      <c r="M25" s="49">
        <f t="shared" si="8"/>
        <v>6</v>
      </c>
      <c r="N25" s="31"/>
      <c r="O25" s="32"/>
      <c r="P25" s="32"/>
      <c r="Q25" s="33"/>
    </row>
    <row r="26" spans="1:17" x14ac:dyDescent="0.35">
      <c r="A26" s="40">
        <v>8</v>
      </c>
      <c r="B26" s="41">
        <f>$I$15*B$18</f>
        <v>0.41666666666666669</v>
      </c>
      <c r="C26" s="41">
        <f t="shared" ref="C26:M26" si="9">$I$15*C$18</f>
        <v>0.83333333333333337</v>
      </c>
      <c r="D26" s="42">
        <f t="shared" si="9"/>
        <v>1.25</v>
      </c>
      <c r="E26" s="42">
        <f t="shared" si="9"/>
        <v>1.6666666666666667</v>
      </c>
      <c r="F26" s="43">
        <f t="shared" si="9"/>
        <v>2.0833333333333335</v>
      </c>
      <c r="G26" s="43">
        <f t="shared" si="9"/>
        <v>2.5</v>
      </c>
      <c r="H26" s="43">
        <f t="shared" si="9"/>
        <v>2.916666666666667</v>
      </c>
      <c r="I26" s="44">
        <f t="shared" si="9"/>
        <v>3.3333333333333335</v>
      </c>
      <c r="J26" s="44">
        <f t="shared" si="9"/>
        <v>3.75</v>
      </c>
      <c r="K26" s="45">
        <f t="shared" si="9"/>
        <v>4.166666666666667</v>
      </c>
      <c r="L26" s="45">
        <f t="shared" si="9"/>
        <v>4.5833333333333339</v>
      </c>
      <c r="M26" s="46">
        <f t="shared" si="9"/>
        <v>5</v>
      </c>
      <c r="N26" s="35"/>
      <c r="O26" s="35"/>
      <c r="P26" s="31"/>
      <c r="Q26" s="31"/>
    </row>
    <row r="27" spans="1:17" x14ac:dyDescent="0.35">
      <c r="A27">
        <v>9</v>
      </c>
      <c r="B27" s="30">
        <f>$J$15*B$18</f>
        <v>0.33333333333333331</v>
      </c>
      <c r="C27" s="30">
        <f t="shared" ref="C27:M27" si="10">$J$15*C$18</f>
        <v>0.66666666666666663</v>
      </c>
      <c r="D27" s="31">
        <f t="shared" si="10"/>
        <v>1</v>
      </c>
      <c r="E27" s="31">
        <f t="shared" si="10"/>
        <v>1.3333333333333333</v>
      </c>
      <c r="F27" s="31">
        <f t="shared" si="10"/>
        <v>1.6666666666666665</v>
      </c>
      <c r="G27" s="32">
        <f t="shared" si="10"/>
        <v>2</v>
      </c>
      <c r="H27" s="32">
        <f t="shared" si="10"/>
        <v>2.333333333333333</v>
      </c>
      <c r="I27" s="32">
        <f t="shared" si="10"/>
        <v>2.6666666666666665</v>
      </c>
      <c r="J27" s="33">
        <f t="shared" si="10"/>
        <v>3</v>
      </c>
      <c r="K27" s="33">
        <f t="shared" si="10"/>
        <v>3.333333333333333</v>
      </c>
      <c r="L27" s="33">
        <f t="shared" si="10"/>
        <v>3.6666666666666665</v>
      </c>
      <c r="M27" s="34">
        <f t="shared" si="10"/>
        <v>4</v>
      </c>
      <c r="N27" s="34"/>
      <c r="O27" s="34"/>
      <c r="P27" s="35"/>
      <c r="Q27" s="35"/>
    </row>
    <row r="28" spans="1:17" x14ac:dyDescent="0.35">
      <c r="A28">
        <v>10</v>
      </c>
      <c r="B28" s="30">
        <f>$K$15*B$18</f>
        <v>0.25</v>
      </c>
      <c r="C28" s="30">
        <f t="shared" ref="C28:M28" si="11">$K$15*C$18</f>
        <v>0.5</v>
      </c>
      <c r="D28" s="30">
        <f t="shared" si="11"/>
        <v>0.75</v>
      </c>
      <c r="E28" s="31">
        <f t="shared" si="11"/>
        <v>1</v>
      </c>
      <c r="F28" s="31">
        <f t="shared" si="11"/>
        <v>1.25</v>
      </c>
      <c r="G28" s="31">
        <f t="shared" si="11"/>
        <v>1.5</v>
      </c>
      <c r="H28" s="31">
        <f t="shared" si="11"/>
        <v>1.75</v>
      </c>
      <c r="I28" s="32">
        <f t="shared" si="11"/>
        <v>2</v>
      </c>
      <c r="J28" s="32">
        <f t="shared" si="11"/>
        <v>2.25</v>
      </c>
      <c r="K28" s="32">
        <f t="shared" si="11"/>
        <v>2.5</v>
      </c>
      <c r="L28" s="32">
        <f t="shared" si="11"/>
        <v>2.75</v>
      </c>
      <c r="M28" s="33">
        <f t="shared" si="11"/>
        <v>3</v>
      </c>
      <c r="N28" s="33"/>
      <c r="O28" s="33"/>
      <c r="P28" s="33"/>
      <c r="Q28" s="34"/>
    </row>
    <row r="29" spans="1:17" x14ac:dyDescent="0.35">
      <c r="A29">
        <v>11</v>
      </c>
      <c r="B29" s="30">
        <f>$L$15*B$18</f>
        <v>0.16666666666666666</v>
      </c>
      <c r="C29" s="30">
        <f t="shared" ref="C29:M29" si="12">$L$15*C$18</f>
        <v>0.33333333333333331</v>
      </c>
      <c r="D29" s="30">
        <f t="shared" si="12"/>
        <v>0.5</v>
      </c>
      <c r="E29" s="30">
        <f t="shared" si="12"/>
        <v>0.66666666666666663</v>
      </c>
      <c r="F29" s="30">
        <f t="shared" si="12"/>
        <v>0.83333333333333326</v>
      </c>
      <c r="G29" s="31">
        <f t="shared" si="12"/>
        <v>1</v>
      </c>
      <c r="H29" s="31">
        <f t="shared" si="12"/>
        <v>1.1666666666666665</v>
      </c>
      <c r="I29" s="31">
        <f t="shared" si="12"/>
        <v>1.3333333333333333</v>
      </c>
      <c r="J29" s="31">
        <f t="shared" si="12"/>
        <v>1.5</v>
      </c>
      <c r="K29" s="31">
        <f t="shared" si="12"/>
        <v>1.6666666666666665</v>
      </c>
      <c r="L29" s="31">
        <f t="shared" si="12"/>
        <v>1.8333333333333333</v>
      </c>
      <c r="M29" s="32">
        <f t="shared" si="12"/>
        <v>2</v>
      </c>
      <c r="N29" s="32"/>
      <c r="O29" s="32"/>
      <c r="P29" s="32"/>
      <c r="Q29" s="32"/>
    </row>
    <row r="30" spans="1:17" x14ac:dyDescent="0.35">
      <c r="A30">
        <v>12</v>
      </c>
      <c r="B30" s="30">
        <f>$M$15*B$18</f>
        <v>8.3333333333333329E-2</v>
      </c>
      <c r="C30" s="30">
        <f t="shared" ref="C30:M30" si="13">$M$15*C$18</f>
        <v>0.16666666666666666</v>
      </c>
      <c r="D30" s="30">
        <f t="shared" si="13"/>
        <v>0.25</v>
      </c>
      <c r="E30" s="30">
        <f t="shared" si="13"/>
        <v>0.33333333333333331</v>
      </c>
      <c r="F30" s="30">
        <f t="shared" si="13"/>
        <v>0.41666666666666663</v>
      </c>
      <c r="G30" s="30">
        <f t="shared" si="13"/>
        <v>0.5</v>
      </c>
      <c r="H30" s="30">
        <f t="shared" si="13"/>
        <v>0.58333333333333326</v>
      </c>
      <c r="I30" s="30">
        <f t="shared" si="13"/>
        <v>0.66666666666666663</v>
      </c>
      <c r="J30" s="30">
        <f t="shared" si="13"/>
        <v>0.75</v>
      </c>
      <c r="K30" s="30">
        <f t="shared" si="13"/>
        <v>0.83333333333333326</v>
      </c>
      <c r="L30" s="30">
        <f t="shared" si="13"/>
        <v>0.91666666666666663</v>
      </c>
      <c r="M30" s="31">
        <f t="shared" si="13"/>
        <v>1</v>
      </c>
      <c r="N30" s="31"/>
      <c r="O30" s="31"/>
      <c r="P30" s="31"/>
      <c r="Q30" s="31"/>
    </row>
    <row r="32" spans="1:17" x14ac:dyDescent="0.35">
      <c r="A32" t="s">
        <v>78</v>
      </c>
      <c r="B32" s="317" t="s">
        <v>73</v>
      </c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</row>
    <row r="33" spans="1:14" x14ac:dyDescent="0.35">
      <c r="A33" s="37" t="s">
        <v>135</v>
      </c>
      <c r="B33" s="38">
        <v>0</v>
      </c>
      <c r="C33" s="38">
        <v>1</v>
      </c>
      <c r="D33" s="38">
        <v>2</v>
      </c>
      <c r="E33" s="38">
        <v>3</v>
      </c>
      <c r="F33" s="38">
        <v>4</v>
      </c>
      <c r="G33" s="38">
        <v>5</v>
      </c>
      <c r="H33" s="38">
        <v>6</v>
      </c>
      <c r="I33" s="38">
        <v>7</v>
      </c>
      <c r="J33" s="38">
        <v>8</v>
      </c>
      <c r="K33" s="38">
        <v>9</v>
      </c>
      <c r="L33" s="38">
        <v>10</v>
      </c>
      <c r="M33" s="38">
        <v>11</v>
      </c>
      <c r="N33" s="38">
        <v>12</v>
      </c>
    </row>
    <row r="34" spans="1:14" x14ac:dyDescent="0.35">
      <c r="A34" s="39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 s="39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s="39">
        <v>2</v>
      </c>
      <c r="B36">
        <v>0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 s="39">
        <v>3</v>
      </c>
      <c r="B37">
        <v>0</v>
      </c>
      <c r="C37">
        <v>0</v>
      </c>
      <c r="D37">
        <v>2</v>
      </c>
      <c r="E37">
        <v>2</v>
      </c>
      <c r="F37">
        <v>2</v>
      </c>
      <c r="G37">
        <v>2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</row>
    <row r="38" spans="1:14" x14ac:dyDescent="0.35">
      <c r="A38" s="39">
        <v>4</v>
      </c>
      <c r="B38">
        <v>0</v>
      </c>
      <c r="C38">
        <v>0</v>
      </c>
      <c r="D38">
        <v>3</v>
      </c>
      <c r="E38">
        <v>3</v>
      </c>
      <c r="F38">
        <v>3</v>
      </c>
      <c r="G38">
        <v>2</v>
      </c>
      <c r="H38">
        <v>2</v>
      </c>
      <c r="I38">
        <v>2</v>
      </c>
      <c r="J38">
        <v>1</v>
      </c>
      <c r="K38">
        <v>1</v>
      </c>
      <c r="L38">
        <v>1</v>
      </c>
      <c r="M38">
        <v>0</v>
      </c>
      <c r="N38">
        <v>0</v>
      </c>
    </row>
    <row r="39" spans="1:14" x14ac:dyDescent="0.35">
      <c r="A39" s="39">
        <v>5</v>
      </c>
      <c r="B39">
        <v>0</v>
      </c>
      <c r="C39">
        <v>0</v>
      </c>
      <c r="D39">
        <v>4</v>
      </c>
      <c r="E39">
        <v>4</v>
      </c>
      <c r="F39">
        <v>3</v>
      </c>
      <c r="G39">
        <v>3</v>
      </c>
      <c r="H39">
        <v>2</v>
      </c>
      <c r="I39">
        <v>2</v>
      </c>
      <c r="J39">
        <v>2</v>
      </c>
      <c r="K39">
        <v>1</v>
      </c>
      <c r="L39">
        <v>1</v>
      </c>
      <c r="M39">
        <v>0</v>
      </c>
      <c r="N39">
        <v>0</v>
      </c>
    </row>
    <row r="40" spans="1:14" x14ac:dyDescent="0.35">
      <c r="A40" s="39">
        <v>6</v>
      </c>
      <c r="B40">
        <v>0</v>
      </c>
      <c r="C40">
        <v>0</v>
      </c>
      <c r="D40">
        <v>5</v>
      </c>
      <c r="E40">
        <v>5</v>
      </c>
      <c r="F40">
        <v>4</v>
      </c>
      <c r="G40">
        <v>4</v>
      </c>
      <c r="H40">
        <v>3</v>
      </c>
      <c r="I40">
        <v>3</v>
      </c>
      <c r="J40">
        <v>2</v>
      </c>
      <c r="K40">
        <v>2</v>
      </c>
      <c r="L40">
        <v>1</v>
      </c>
      <c r="M40">
        <v>1</v>
      </c>
      <c r="N40">
        <v>0</v>
      </c>
    </row>
    <row r="41" spans="1:14" x14ac:dyDescent="0.35">
      <c r="A41" s="39">
        <v>7</v>
      </c>
      <c r="B41">
        <v>0</v>
      </c>
      <c r="C41">
        <v>0</v>
      </c>
      <c r="D41">
        <v>6</v>
      </c>
      <c r="E41">
        <v>5</v>
      </c>
      <c r="F41">
        <v>5</v>
      </c>
      <c r="G41">
        <v>4</v>
      </c>
      <c r="H41">
        <v>3</v>
      </c>
      <c r="I41">
        <v>3</v>
      </c>
      <c r="J41">
        <v>2</v>
      </c>
      <c r="K41">
        <v>2</v>
      </c>
      <c r="L41">
        <v>1</v>
      </c>
      <c r="M41">
        <v>1</v>
      </c>
      <c r="N41">
        <v>0</v>
      </c>
    </row>
    <row r="42" spans="1:14" x14ac:dyDescent="0.35">
      <c r="A42" s="39">
        <v>8</v>
      </c>
      <c r="B42">
        <v>0</v>
      </c>
      <c r="C42">
        <v>0</v>
      </c>
      <c r="D42">
        <v>7</v>
      </c>
      <c r="E42">
        <v>6</v>
      </c>
      <c r="F42">
        <v>6</v>
      </c>
      <c r="G42">
        <v>5</v>
      </c>
      <c r="H42">
        <v>4</v>
      </c>
      <c r="I42">
        <v>4</v>
      </c>
      <c r="J42">
        <v>3</v>
      </c>
      <c r="K42">
        <v>2</v>
      </c>
      <c r="L42">
        <v>2</v>
      </c>
      <c r="M42">
        <v>1</v>
      </c>
      <c r="N42">
        <v>0</v>
      </c>
    </row>
    <row r="43" spans="1:14" x14ac:dyDescent="0.35">
      <c r="A43" s="39">
        <v>9</v>
      </c>
      <c r="B43">
        <v>0</v>
      </c>
      <c r="C43">
        <v>0</v>
      </c>
      <c r="D43">
        <v>8</v>
      </c>
      <c r="E43">
        <v>7</v>
      </c>
      <c r="F43">
        <v>6</v>
      </c>
      <c r="G43">
        <v>6</v>
      </c>
      <c r="H43">
        <v>4</v>
      </c>
      <c r="I43">
        <v>4</v>
      </c>
      <c r="J43">
        <v>3</v>
      </c>
      <c r="K43">
        <v>3</v>
      </c>
      <c r="L43">
        <v>2</v>
      </c>
      <c r="M43">
        <v>1</v>
      </c>
      <c r="N43">
        <v>0</v>
      </c>
    </row>
    <row r="44" spans="1:14" x14ac:dyDescent="0.35">
      <c r="A44" s="39">
        <v>10</v>
      </c>
      <c r="B44">
        <v>0</v>
      </c>
      <c r="C44">
        <v>0</v>
      </c>
      <c r="D44">
        <v>9</v>
      </c>
      <c r="E44">
        <v>8</v>
      </c>
      <c r="F44">
        <v>7</v>
      </c>
      <c r="G44">
        <v>6</v>
      </c>
      <c r="H44">
        <v>5</v>
      </c>
      <c r="I44">
        <v>5</v>
      </c>
      <c r="J44">
        <v>4</v>
      </c>
      <c r="K44">
        <v>3</v>
      </c>
      <c r="L44">
        <v>2</v>
      </c>
      <c r="M44">
        <v>1</v>
      </c>
      <c r="N44">
        <v>0</v>
      </c>
    </row>
    <row r="45" spans="1:14" x14ac:dyDescent="0.35">
      <c r="A45" s="39">
        <v>11</v>
      </c>
      <c r="B45">
        <v>0</v>
      </c>
      <c r="C45">
        <v>0</v>
      </c>
      <c r="D45">
        <v>10</v>
      </c>
      <c r="E45">
        <v>9</v>
      </c>
      <c r="F45">
        <v>8</v>
      </c>
      <c r="G45">
        <v>7</v>
      </c>
      <c r="H45">
        <v>6</v>
      </c>
      <c r="I45">
        <v>5</v>
      </c>
      <c r="J45">
        <v>4</v>
      </c>
      <c r="K45">
        <v>3</v>
      </c>
      <c r="L45">
        <v>2</v>
      </c>
      <c r="M45">
        <v>1</v>
      </c>
      <c r="N45">
        <v>0</v>
      </c>
    </row>
    <row r="46" spans="1:14" x14ac:dyDescent="0.35">
      <c r="A46" s="39">
        <v>12</v>
      </c>
      <c r="B46">
        <v>0</v>
      </c>
      <c r="C46">
        <v>0</v>
      </c>
      <c r="D46">
        <v>11</v>
      </c>
      <c r="E46">
        <v>10</v>
      </c>
      <c r="F46">
        <v>9</v>
      </c>
      <c r="G46">
        <v>8</v>
      </c>
      <c r="H46">
        <v>7</v>
      </c>
      <c r="I46">
        <v>6</v>
      </c>
      <c r="J46">
        <v>5</v>
      </c>
      <c r="K46">
        <v>4</v>
      </c>
      <c r="L46">
        <v>3</v>
      </c>
      <c r="M46">
        <v>2</v>
      </c>
      <c r="N46">
        <v>1</v>
      </c>
    </row>
  </sheetData>
  <mergeCells count="2">
    <mergeCell ref="B17:Q17"/>
    <mergeCell ref="B32:N3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C427-0665-48F5-A115-BBDE730367F4}">
  <dimension ref="A1:W49"/>
  <sheetViews>
    <sheetView workbookViewId="0">
      <selection activeCell="B22" sqref="B22"/>
    </sheetView>
  </sheetViews>
  <sheetFormatPr defaultRowHeight="14.5" x14ac:dyDescent="0.35"/>
  <cols>
    <col min="1" max="1" width="4.75" bestFit="1" customWidth="1"/>
    <col min="2" max="2" width="9.9140625" bestFit="1" customWidth="1"/>
    <col min="3" max="4" width="10" bestFit="1" customWidth="1"/>
    <col min="11" max="11" width="4.33203125" bestFit="1" customWidth="1"/>
    <col min="12" max="12" width="3.58203125" customWidth="1"/>
    <col min="13" max="13" width="8.58203125" bestFit="1" customWidth="1"/>
    <col min="14" max="14" width="4.6640625" bestFit="1" customWidth="1"/>
  </cols>
  <sheetData>
    <row r="1" spans="1:23" ht="15" thickBot="1" x14ac:dyDescent="0.4">
      <c r="A1" s="26" t="s">
        <v>29</v>
      </c>
      <c r="B1" s="330" t="s">
        <v>118</v>
      </c>
      <c r="C1" s="330"/>
      <c r="D1" s="330"/>
      <c r="E1" s="330"/>
      <c r="F1" s="330"/>
      <c r="G1" s="330"/>
      <c r="H1" s="330"/>
      <c r="I1" s="331"/>
      <c r="K1" s="327" t="s">
        <v>116</v>
      </c>
      <c r="L1" s="328"/>
      <c r="M1" s="328"/>
      <c r="N1" s="329"/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</row>
    <row r="2" spans="1:23" ht="15" thickBot="1" x14ac:dyDescent="0.4">
      <c r="A2" s="14">
        <v>0</v>
      </c>
      <c r="B2" s="15" t="s">
        <v>79</v>
      </c>
      <c r="C2" s="323" t="s">
        <v>181</v>
      </c>
      <c r="D2" s="323"/>
      <c r="E2" s="323"/>
      <c r="F2" s="323"/>
      <c r="G2" s="323"/>
      <c r="H2" s="323"/>
      <c r="I2" s="323"/>
      <c r="K2" s="56" t="s">
        <v>29</v>
      </c>
      <c r="L2" s="57" t="s">
        <v>18</v>
      </c>
      <c r="M2" s="57" t="s">
        <v>115</v>
      </c>
      <c r="N2" s="61" t="s">
        <v>137</v>
      </c>
      <c r="P2">
        <v>3</v>
      </c>
      <c r="Q2">
        <v>3</v>
      </c>
      <c r="R2" t="s">
        <v>117</v>
      </c>
      <c r="S2">
        <v>8</v>
      </c>
      <c r="T2" t="s">
        <v>117</v>
      </c>
    </row>
    <row r="3" spans="1:23" x14ac:dyDescent="0.35">
      <c r="A3" s="14">
        <v>1</v>
      </c>
      <c r="B3" s="16" t="s">
        <v>83</v>
      </c>
      <c r="C3" s="326" t="s">
        <v>180</v>
      </c>
      <c r="D3" s="326"/>
      <c r="E3" s="326"/>
      <c r="F3" s="326"/>
      <c r="G3" s="326"/>
      <c r="H3" s="326"/>
      <c r="I3" s="326"/>
      <c r="K3" s="21">
        <v>0</v>
      </c>
      <c r="L3" s="58" t="s">
        <v>117</v>
      </c>
      <c r="M3" s="58" t="s">
        <v>117</v>
      </c>
      <c r="N3" s="59" t="s">
        <v>117</v>
      </c>
      <c r="P3">
        <v>4</v>
      </c>
      <c r="Q3">
        <v>4</v>
      </c>
      <c r="R3">
        <v>5</v>
      </c>
      <c r="S3" t="s">
        <v>117</v>
      </c>
      <c r="T3">
        <v>13</v>
      </c>
    </row>
    <row r="4" spans="1:23" x14ac:dyDescent="0.35">
      <c r="A4" s="14">
        <v>2</v>
      </c>
      <c r="B4" s="15" t="s">
        <v>84</v>
      </c>
      <c r="C4" s="323" t="s">
        <v>93</v>
      </c>
      <c r="D4" s="323"/>
      <c r="E4" s="323"/>
      <c r="F4" s="323"/>
      <c r="G4" s="323"/>
      <c r="H4" s="323"/>
      <c r="I4" s="323"/>
      <c r="K4" s="21">
        <v>1</v>
      </c>
      <c r="L4" s="58" t="s">
        <v>117</v>
      </c>
      <c r="M4" s="58" t="s">
        <v>117</v>
      </c>
      <c r="N4" s="62">
        <v>1</v>
      </c>
      <c r="P4">
        <v>5</v>
      </c>
      <c r="Q4">
        <v>5</v>
      </c>
      <c r="R4" t="s">
        <v>117</v>
      </c>
      <c r="S4" t="s">
        <v>117</v>
      </c>
      <c r="T4" t="s">
        <v>117</v>
      </c>
    </row>
    <row r="5" spans="1:23" x14ac:dyDescent="0.35">
      <c r="A5" s="14">
        <v>3</v>
      </c>
      <c r="B5" s="16" t="s">
        <v>86</v>
      </c>
      <c r="C5" s="326" t="s">
        <v>94</v>
      </c>
      <c r="D5" s="326"/>
      <c r="E5" s="326"/>
      <c r="F5" s="326"/>
      <c r="G5" s="326"/>
      <c r="H5" s="326"/>
      <c r="I5" s="326"/>
      <c r="K5" s="21">
        <v>2</v>
      </c>
      <c r="L5" s="58" t="s">
        <v>117</v>
      </c>
      <c r="M5" s="23">
        <v>1</v>
      </c>
      <c r="N5" s="59">
        <v>2</v>
      </c>
      <c r="P5">
        <v>6</v>
      </c>
      <c r="Q5">
        <v>6</v>
      </c>
      <c r="R5">
        <v>6</v>
      </c>
      <c r="S5">
        <v>9</v>
      </c>
      <c r="T5" t="s">
        <v>117</v>
      </c>
    </row>
    <row r="6" spans="1:23" x14ac:dyDescent="0.35">
      <c r="A6" s="14">
        <v>4</v>
      </c>
      <c r="B6" s="15" t="s">
        <v>85</v>
      </c>
      <c r="C6" s="323" t="s">
        <v>99</v>
      </c>
      <c r="D6" s="323"/>
      <c r="E6" s="323"/>
      <c r="F6" s="323"/>
      <c r="G6" s="323"/>
      <c r="H6" s="323"/>
      <c r="I6" s="323"/>
      <c r="K6" s="21">
        <v>3</v>
      </c>
      <c r="L6" s="23">
        <v>1</v>
      </c>
      <c r="M6" s="58" t="s">
        <v>117</v>
      </c>
      <c r="N6" s="59">
        <v>3</v>
      </c>
      <c r="P6">
        <v>7</v>
      </c>
      <c r="Q6">
        <v>7</v>
      </c>
      <c r="R6" t="s">
        <v>117</v>
      </c>
      <c r="S6" t="s">
        <v>117</v>
      </c>
      <c r="T6" t="s">
        <v>117</v>
      </c>
    </row>
    <row r="7" spans="1:23" x14ac:dyDescent="0.35">
      <c r="A7" s="14">
        <v>5</v>
      </c>
      <c r="B7" s="16" t="s">
        <v>87</v>
      </c>
      <c r="C7" s="326" t="s">
        <v>98</v>
      </c>
      <c r="D7" s="326"/>
      <c r="E7" s="326"/>
      <c r="F7" s="326"/>
      <c r="G7" s="326"/>
      <c r="H7" s="326"/>
      <c r="I7" s="326"/>
      <c r="K7" s="21">
        <v>4</v>
      </c>
      <c r="L7" s="58" t="s">
        <v>117</v>
      </c>
      <c r="M7" s="23">
        <v>2</v>
      </c>
      <c r="N7" s="59">
        <v>4</v>
      </c>
      <c r="P7">
        <v>8</v>
      </c>
      <c r="Q7">
        <v>8</v>
      </c>
      <c r="R7">
        <v>7</v>
      </c>
      <c r="S7" t="s">
        <v>117</v>
      </c>
      <c r="T7">
        <v>14</v>
      </c>
    </row>
    <row r="8" spans="1:23" x14ac:dyDescent="0.35">
      <c r="A8" s="14">
        <f t="shared" ref="A8:A14" si="0">A7*2</f>
        <v>10</v>
      </c>
      <c r="B8" s="15" t="s">
        <v>182</v>
      </c>
      <c r="C8" s="323" t="s">
        <v>97</v>
      </c>
      <c r="D8" s="323"/>
      <c r="E8" s="323"/>
      <c r="F8" s="323"/>
      <c r="G8" s="323"/>
      <c r="H8" s="323"/>
      <c r="I8" s="323"/>
      <c r="K8" s="21">
        <v>5</v>
      </c>
      <c r="L8" s="58" t="s">
        <v>117</v>
      </c>
      <c r="M8" s="58" t="s">
        <v>117</v>
      </c>
      <c r="N8" s="59">
        <v>5</v>
      </c>
      <c r="P8">
        <v>9</v>
      </c>
      <c r="Q8">
        <v>9</v>
      </c>
      <c r="R8" t="s">
        <v>117</v>
      </c>
      <c r="S8">
        <v>10</v>
      </c>
      <c r="T8" t="s">
        <v>117</v>
      </c>
    </row>
    <row r="9" spans="1:23" x14ac:dyDescent="0.35">
      <c r="A9" s="14">
        <f t="shared" si="0"/>
        <v>20</v>
      </c>
      <c r="B9" s="16" t="s">
        <v>136</v>
      </c>
      <c r="C9" s="326" t="s">
        <v>96</v>
      </c>
      <c r="D9" s="326"/>
      <c r="E9" s="326"/>
      <c r="F9" s="326"/>
      <c r="G9" s="326"/>
      <c r="H9" s="326"/>
      <c r="I9" s="326"/>
      <c r="K9" s="21">
        <v>6</v>
      </c>
      <c r="L9" s="23">
        <v>2</v>
      </c>
      <c r="M9" s="23">
        <v>3</v>
      </c>
      <c r="N9" s="59">
        <v>6</v>
      </c>
      <c r="P9">
        <v>10</v>
      </c>
      <c r="Q9">
        <v>10</v>
      </c>
      <c r="R9">
        <v>8</v>
      </c>
      <c r="S9" t="s">
        <v>117</v>
      </c>
      <c r="T9" t="s">
        <v>117</v>
      </c>
    </row>
    <row r="10" spans="1:23" x14ac:dyDescent="0.35">
      <c r="A10" s="14">
        <f t="shared" si="0"/>
        <v>40</v>
      </c>
      <c r="B10" s="15" t="s">
        <v>88</v>
      </c>
      <c r="C10" s="323" t="s">
        <v>95</v>
      </c>
      <c r="D10" s="323"/>
      <c r="E10" s="323"/>
      <c r="F10" s="323"/>
      <c r="G10" s="323"/>
      <c r="H10" s="323"/>
      <c r="I10" s="323"/>
      <c r="K10" s="21">
        <v>7</v>
      </c>
      <c r="L10" s="58" t="s">
        <v>117</v>
      </c>
      <c r="M10" s="58" t="s">
        <v>117</v>
      </c>
      <c r="N10" s="59">
        <v>7</v>
      </c>
      <c r="P10">
        <v>11</v>
      </c>
      <c r="Q10">
        <v>11</v>
      </c>
      <c r="R10" t="s">
        <v>117</v>
      </c>
      <c r="S10" t="s">
        <v>117</v>
      </c>
      <c r="T10" t="s">
        <v>117</v>
      </c>
    </row>
    <row r="11" spans="1:23" x14ac:dyDescent="0.35">
      <c r="A11" s="14">
        <f t="shared" si="0"/>
        <v>80</v>
      </c>
      <c r="B11" s="16" t="s">
        <v>89</v>
      </c>
      <c r="C11" s="326" t="s">
        <v>100</v>
      </c>
      <c r="D11" s="326"/>
      <c r="E11" s="326"/>
      <c r="F11" s="326"/>
      <c r="G11" s="326"/>
      <c r="H11" s="326"/>
      <c r="I11" s="326"/>
      <c r="K11" s="21">
        <v>8</v>
      </c>
      <c r="L11" s="58" t="s">
        <v>117</v>
      </c>
      <c r="M11" s="23">
        <v>4</v>
      </c>
      <c r="N11" s="59">
        <v>8</v>
      </c>
      <c r="P11">
        <v>12</v>
      </c>
      <c r="Q11">
        <v>12</v>
      </c>
      <c r="R11">
        <v>9</v>
      </c>
      <c r="S11">
        <v>11</v>
      </c>
      <c r="T11">
        <v>15</v>
      </c>
    </row>
    <row r="12" spans="1:23" x14ac:dyDescent="0.35">
      <c r="A12" s="14">
        <f t="shared" si="0"/>
        <v>160</v>
      </c>
      <c r="B12" s="15" t="s">
        <v>90</v>
      </c>
      <c r="C12" s="323" t="s">
        <v>101</v>
      </c>
      <c r="D12" s="323"/>
      <c r="E12" s="323"/>
      <c r="F12" s="323"/>
      <c r="G12" s="323"/>
      <c r="H12" s="323"/>
      <c r="I12" s="323"/>
      <c r="K12" s="21">
        <v>9</v>
      </c>
      <c r="L12" s="23">
        <v>3</v>
      </c>
      <c r="M12" s="58" t="s">
        <v>117</v>
      </c>
      <c r="N12" s="59">
        <v>9</v>
      </c>
      <c r="P12">
        <v>13</v>
      </c>
      <c r="R12" t="s">
        <v>117</v>
      </c>
      <c r="S12" t="s">
        <v>117</v>
      </c>
      <c r="T12" t="s">
        <v>117</v>
      </c>
    </row>
    <row r="13" spans="1:23" x14ac:dyDescent="0.35">
      <c r="A13" s="14">
        <f t="shared" si="0"/>
        <v>320</v>
      </c>
      <c r="B13" s="16" t="s">
        <v>91</v>
      </c>
      <c r="C13" s="326" t="s">
        <v>102</v>
      </c>
      <c r="D13" s="326"/>
      <c r="E13" s="326"/>
      <c r="F13" s="326"/>
      <c r="G13" s="326"/>
      <c r="H13" s="326"/>
      <c r="I13" s="326"/>
      <c r="K13" s="21">
        <v>10</v>
      </c>
      <c r="L13" s="58" t="s">
        <v>117</v>
      </c>
      <c r="M13" s="23">
        <v>5</v>
      </c>
      <c r="N13" s="59">
        <v>10</v>
      </c>
      <c r="P13">
        <v>14</v>
      </c>
      <c r="R13">
        <v>10</v>
      </c>
      <c r="S13" t="s">
        <v>117</v>
      </c>
      <c r="T13" t="s">
        <v>117</v>
      </c>
    </row>
    <row r="14" spans="1:23" ht="15" thickBot="1" x14ac:dyDescent="0.4">
      <c r="A14" s="17">
        <f t="shared" si="0"/>
        <v>640</v>
      </c>
      <c r="B14" s="18" t="s">
        <v>92</v>
      </c>
      <c r="C14" s="318" t="s">
        <v>103</v>
      </c>
      <c r="D14" s="318"/>
      <c r="E14" s="318"/>
      <c r="F14" s="318"/>
      <c r="G14" s="318"/>
      <c r="H14" s="318"/>
      <c r="I14" s="319"/>
      <c r="K14" s="21">
        <v>11</v>
      </c>
      <c r="L14" s="58" t="s">
        <v>117</v>
      </c>
      <c r="M14" s="58" t="s">
        <v>117</v>
      </c>
      <c r="N14" s="59">
        <v>11</v>
      </c>
      <c r="P14">
        <v>15</v>
      </c>
      <c r="R14" t="s">
        <v>117</v>
      </c>
      <c r="S14">
        <v>12</v>
      </c>
      <c r="T14" t="s">
        <v>117</v>
      </c>
    </row>
    <row r="15" spans="1:23" ht="15" thickBot="1" x14ac:dyDescent="0.4">
      <c r="K15" s="22">
        <v>12</v>
      </c>
      <c r="L15" s="24">
        <v>4</v>
      </c>
      <c r="M15" s="24">
        <v>6</v>
      </c>
      <c r="N15" s="60">
        <v>12</v>
      </c>
      <c r="P15">
        <v>16</v>
      </c>
      <c r="R15">
        <v>11</v>
      </c>
      <c r="S15" t="s">
        <v>117</v>
      </c>
      <c r="T15">
        <v>16</v>
      </c>
    </row>
    <row r="16" spans="1:23" ht="15" thickBot="1" x14ac:dyDescent="0.4">
      <c r="A16" s="27" t="s">
        <v>29</v>
      </c>
      <c r="B16" s="320" t="s">
        <v>114</v>
      </c>
      <c r="C16" s="320"/>
      <c r="D16" s="320"/>
      <c r="E16" s="320"/>
      <c r="F16" s="320"/>
      <c r="G16" s="320"/>
      <c r="H16" s="321"/>
      <c r="P16">
        <v>17</v>
      </c>
      <c r="R16" t="s">
        <v>117</v>
      </c>
      <c r="S16" t="s">
        <v>117</v>
      </c>
      <c r="T16" t="s">
        <v>117</v>
      </c>
    </row>
    <row r="17" spans="1:20" x14ac:dyDescent="0.35">
      <c r="A17" s="19">
        <v>0</v>
      </c>
      <c r="B17" s="15" t="s">
        <v>104</v>
      </c>
      <c r="C17" s="322" t="s">
        <v>106</v>
      </c>
      <c r="D17" s="322"/>
      <c r="E17" s="322"/>
      <c r="F17" s="322"/>
      <c r="G17" s="322"/>
      <c r="H17" s="323"/>
      <c r="N17" s="55"/>
      <c r="P17">
        <v>18</v>
      </c>
      <c r="R17">
        <v>12</v>
      </c>
      <c r="S17">
        <v>13</v>
      </c>
      <c r="T17" t="s">
        <v>117</v>
      </c>
    </row>
    <row r="18" spans="1:20" x14ac:dyDescent="0.35">
      <c r="A18" s="19">
        <v>1</v>
      </c>
      <c r="B18" s="25">
        <v>3</v>
      </c>
      <c r="C18" s="324" t="s">
        <v>163</v>
      </c>
      <c r="D18" s="324"/>
      <c r="E18" s="324"/>
      <c r="F18" s="324"/>
      <c r="G18" s="324"/>
      <c r="H18" s="325"/>
      <c r="P18">
        <v>19</v>
      </c>
      <c r="R18" t="s">
        <v>117</v>
      </c>
      <c r="S18" t="s">
        <v>117</v>
      </c>
      <c r="T18" t="s">
        <v>117</v>
      </c>
    </row>
    <row r="19" spans="1:20" x14ac:dyDescent="0.35">
      <c r="A19" s="19">
        <v>2</v>
      </c>
      <c r="B19" s="15">
        <v>6</v>
      </c>
      <c r="C19" s="322" t="s">
        <v>164</v>
      </c>
      <c r="D19" s="322"/>
      <c r="E19" s="322"/>
      <c r="F19" s="322"/>
      <c r="G19" s="322"/>
      <c r="H19" s="323"/>
      <c r="P19">
        <v>20</v>
      </c>
      <c r="R19">
        <v>13</v>
      </c>
      <c r="S19" t="s">
        <v>117</v>
      </c>
      <c r="T19">
        <v>17</v>
      </c>
    </row>
    <row r="20" spans="1:20" x14ac:dyDescent="0.35">
      <c r="A20" s="19">
        <v>3</v>
      </c>
      <c r="B20" s="25" t="s">
        <v>161</v>
      </c>
      <c r="C20" s="324" t="s">
        <v>105</v>
      </c>
      <c r="D20" s="324"/>
      <c r="E20" s="324"/>
      <c r="F20" s="324"/>
      <c r="G20" s="324"/>
      <c r="H20" s="325"/>
      <c r="P20">
        <v>21</v>
      </c>
      <c r="R20" t="s">
        <v>117</v>
      </c>
      <c r="S20">
        <v>14</v>
      </c>
      <c r="T20" t="s">
        <v>117</v>
      </c>
    </row>
    <row r="21" spans="1:20" x14ac:dyDescent="0.35">
      <c r="A21" s="19">
        <v>4</v>
      </c>
      <c r="B21" s="15" t="s">
        <v>111</v>
      </c>
      <c r="C21" s="322" t="s">
        <v>107</v>
      </c>
      <c r="D21" s="322"/>
      <c r="E21" s="322"/>
      <c r="F21" s="322"/>
      <c r="G21" s="322"/>
      <c r="H21" s="323"/>
      <c r="P21">
        <v>22</v>
      </c>
      <c r="R21">
        <v>14</v>
      </c>
      <c r="S21" t="s">
        <v>117</v>
      </c>
      <c r="T21" t="s">
        <v>117</v>
      </c>
    </row>
    <row r="22" spans="1:20" x14ac:dyDescent="0.35">
      <c r="A22" s="19">
        <v>6</v>
      </c>
      <c r="B22" s="25" t="s">
        <v>112</v>
      </c>
      <c r="C22" s="324" t="s">
        <v>165</v>
      </c>
      <c r="D22" s="324"/>
      <c r="E22" s="324"/>
      <c r="F22" s="324"/>
      <c r="G22" s="324"/>
      <c r="H22" s="325"/>
      <c r="P22">
        <v>23</v>
      </c>
      <c r="R22" t="s">
        <v>117</v>
      </c>
      <c r="S22" t="s">
        <v>117</v>
      </c>
      <c r="T22" t="s">
        <v>117</v>
      </c>
    </row>
    <row r="23" spans="1:20" x14ac:dyDescent="0.35">
      <c r="A23" s="19">
        <v>12</v>
      </c>
      <c r="B23" s="15" t="s">
        <v>160</v>
      </c>
      <c r="C23" s="322" t="s">
        <v>168</v>
      </c>
      <c r="D23" s="322"/>
      <c r="E23" s="322"/>
      <c r="F23" s="322"/>
      <c r="G23" s="322"/>
      <c r="H23" s="323"/>
      <c r="P23">
        <v>24</v>
      </c>
      <c r="R23">
        <v>15</v>
      </c>
      <c r="S23">
        <v>15</v>
      </c>
      <c r="T23">
        <v>18</v>
      </c>
    </row>
    <row r="24" spans="1:20" x14ac:dyDescent="0.35">
      <c r="A24" s="19">
        <v>24</v>
      </c>
      <c r="B24" s="25" t="s">
        <v>159</v>
      </c>
      <c r="C24" s="324" t="s">
        <v>166</v>
      </c>
      <c r="D24" s="324"/>
      <c r="E24" s="324"/>
      <c r="F24" s="324"/>
      <c r="G24" s="324"/>
      <c r="H24" s="325"/>
      <c r="P24">
        <v>25</v>
      </c>
      <c r="S24" t="s">
        <v>117</v>
      </c>
      <c r="T24" t="s">
        <v>117</v>
      </c>
    </row>
    <row r="25" spans="1:20" x14ac:dyDescent="0.35">
      <c r="A25" s="19">
        <v>48</v>
      </c>
      <c r="B25" s="15" t="s">
        <v>110</v>
      </c>
      <c r="C25" s="322" t="s">
        <v>167</v>
      </c>
      <c r="D25" s="322"/>
      <c r="E25" s="322"/>
      <c r="F25" s="322"/>
      <c r="G25" s="322"/>
      <c r="H25" s="323"/>
      <c r="P25">
        <v>26</v>
      </c>
      <c r="S25" t="s">
        <v>117</v>
      </c>
      <c r="T25" t="s">
        <v>117</v>
      </c>
    </row>
    <row r="26" spans="1:20" x14ac:dyDescent="0.35">
      <c r="A26" s="19">
        <v>96</v>
      </c>
      <c r="B26" s="25" t="s">
        <v>109</v>
      </c>
      <c r="C26" s="324" t="s">
        <v>169</v>
      </c>
      <c r="D26" s="324"/>
      <c r="E26" s="324"/>
      <c r="F26" s="324"/>
      <c r="G26" s="324"/>
      <c r="H26" s="325"/>
      <c r="P26">
        <v>27</v>
      </c>
      <c r="S26">
        <v>16</v>
      </c>
      <c r="T26" t="s">
        <v>117</v>
      </c>
    </row>
    <row r="27" spans="1:20" x14ac:dyDescent="0.35">
      <c r="A27" s="19">
        <v>192</v>
      </c>
      <c r="B27" s="15" t="s">
        <v>108</v>
      </c>
      <c r="C27" s="322" t="s">
        <v>113</v>
      </c>
      <c r="D27" s="322"/>
      <c r="E27" s="322"/>
      <c r="F27" s="322"/>
      <c r="G27" s="322"/>
      <c r="H27" s="323"/>
      <c r="P27">
        <v>28</v>
      </c>
      <c r="S27" t="s">
        <v>117</v>
      </c>
      <c r="T27">
        <v>19</v>
      </c>
    </row>
    <row r="28" spans="1:20" x14ac:dyDescent="0.35">
      <c r="A28" s="19">
        <v>384</v>
      </c>
      <c r="B28" s="25" t="s">
        <v>162</v>
      </c>
      <c r="C28" s="324" t="s">
        <v>170</v>
      </c>
      <c r="D28" s="324"/>
      <c r="E28" s="324"/>
      <c r="F28" s="324"/>
      <c r="G28" s="324"/>
      <c r="H28" s="325"/>
      <c r="P28">
        <v>29</v>
      </c>
      <c r="S28" t="s">
        <v>117</v>
      </c>
      <c r="T28" t="s">
        <v>117</v>
      </c>
    </row>
    <row r="29" spans="1:20" ht="15" thickBot="1" x14ac:dyDescent="0.4">
      <c r="A29" s="20">
        <v>768</v>
      </c>
      <c r="B29" s="18" t="s">
        <v>171</v>
      </c>
      <c r="C29" s="318" t="s">
        <v>172</v>
      </c>
      <c r="D29" s="318"/>
      <c r="E29" s="318"/>
      <c r="F29" s="318"/>
      <c r="G29" s="318"/>
      <c r="H29" s="319"/>
      <c r="P29">
        <v>30</v>
      </c>
      <c r="S29">
        <v>17</v>
      </c>
      <c r="T29" t="s">
        <v>117</v>
      </c>
    </row>
    <row r="30" spans="1:20" x14ac:dyDescent="0.35">
      <c r="P30">
        <v>31</v>
      </c>
      <c r="S30" t="s">
        <v>117</v>
      </c>
      <c r="T30" t="s">
        <v>117</v>
      </c>
    </row>
    <row r="31" spans="1:20" x14ac:dyDescent="0.35">
      <c r="P31">
        <v>32</v>
      </c>
      <c r="S31" t="s">
        <v>117</v>
      </c>
      <c r="T31">
        <v>20</v>
      </c>
    </row>
    <row r="32" spans="1:20" x14ac:dyDescent="0.35">
      <c r="P32">
        <v>33</v>
      </c>
      <c r="S32">
        <v>18</v>
      </c>
      <c r="T32" t="s">
        <v>117</v>
      </c>
    </row>
    <row r="33" spans="16:20" x14ac:dyDescent="0.35">
      <c r="P33">
        <v>34</v>
      </c>
      <c r="S33" t="s">
        <v>117</v>
      </c>
      <c r="T33" t="s">
        <v>117</v>
      </c>
    </row>
    <row r="34" spans="16:20" x14ac:dyDescent="0.35">
      <c r="P34">
        <v>35</v>
      </c>
      <c r="S34" t="s">
        <v>117</v>
      </c>
      <c r="T34" t="s">
        <v>117</v>
      </c>
    </row>
    <row r="35" spans="16:20" x14ac:dyDescent="0.35">
      <c r="P35">
        <v>36</v>
      </c>
      <c r="S35">
        <v>19</v>
      </c>
      <c r="T35">
        <v>21</v>
      </c>
    </row>
    <row r="36" spans="16:20" x14ac:dyDescent="0.35">
      <c r="P36">
        <v>37</v>
      </c>
      <c r="T36" t="s">
        <v>117</v>
      </c>
    </row>
    <row r="37" spans="16:20" x14ac:dyDescent="0.35">
      <c r="P37">
        <v>38</v>
      </c>
      <c r="T37" t="s">
        <v>117</v>
      </c>
    </row>
    <row r="38" spans="16:20" x14ac:dyDescent="0.35">
      <c r="P38">
        <v>39</v>
      </c>
      <c r="T38" t="s">
        <v>117</v>
      </c>
    </row>
    <row r="39" spans="16:20" x14ac:dyDescent="0.35">
      <c r="P39">
        <v>40</v>
      </c>
      <c r="T39">
        <v>22</v>
      </c>
    </row>
    <row r="40" spans="16:20" x14ac:dyDescent="0.35">
      <c r="P40">
        <v>41</v>
      </c>
      <c r="T40" t="s">
        <v>117</v>
      </c>
    </row>
    <row r="41" spans="16:20" x14ac:dyDescent="0.35">
      <c r="P41">
        <v>42</v>
      </c>
      <c r="T41" t="s">
        <v>117</v>
      </c>
    </row>
    <row r="42" spans="16:20" x14ac:dyDescent="0.35">
      <c r="P42">
        <v>43</v>
      </c>
      <c r="T42" t="s">
        <v>117</v>
      </c>
    </row>
    <row r="43" spans="16:20" x14ac:dyDescent="0.35">
      <c r="P43">
        <v>44</v>
      </c>
      <c r="T43">
        <v>23</v>
      </c>
    </row>
    <row r="44" spans="16:20" x14ac:dyDescent="0.35">
      <c r="P44">
        <v>45</v>
      </c>
      <c r="T44" t="s">
        <v>117</v>
      </c>
    </row>
    <row r="45" spans="16:20" x14ac:dyDescent="0.35">
      <c r="P45">
        <v>46</v>
      </c>
      <c r="T45" t="s">
        <v>117</v>
      </c>
    </row>
    <row r="46" spans="16:20" x14ac:dyDescent="0.35">
      <c r="P46">
        <v>47</v>
      </c>
      <c r="T46" t="s">
        <v>117</v>
      </c>
    </row>
    <row r="47" spans="16:20" x14ac:dyDescent="0.35">
      <c r="P47">
        <v>48</v>
      </c>
      <c r="T47">
        <v>24</v>
      </c>
    </row>
    <row r="48" spans="16:20" x14ac:dyDescent="0.35">
      <c r="P48">
        <v>49</v>
      </c>
    </row>
    <row r="49" spans="16:16" x14ac:dyDescent="0.35">
      <c r="P49">
        <v>50</v>
      </c>
    </row>
  </sheetData>
  <mergeCells count="29">
    <mergeCell ref="K1:N1"/>
    <mergeCell ref="B1:I1"/>
    <mergeCell ref="C26:H26"/>
    <mergeCell ref="C14:I14"/>
    <mergeCell ref="C2:I2"/>
    <mergeCell ref="C3:I3"/>
    <mergeCell ref="C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29:H29"/>
    <mergeCell ref="B16:H16"/>
    <mergeCell ref="C21:H21"/>
    <mergeCell ref="C22:H22"/>
    <mergeCell ref="C23:H23"/>
    <mergeCell ref="C24:H24"/>
    <mergeCell ref="C25:H25"/>
    <mergeCell ref="C17:H17"/>
    <mergeCell ref="C18:H18"/>
    <mergeCell ref="C19:H19"/>
    <mergeCell ref="C20:H20"/>
    <mergeCell ref="C27:H27"/>
    <mergeCell ref="C28:H2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D1C2-FA24-402E-B7FE-6B8381E55614}">
  <dimension ref="A1:AJ12"/>
  <sheetViews>
    <sheetView tabSelected="1" workbookViewId="0">
      <selection activeCell="AA3" sqref="AA3:AE4"/>
    </sheetView>
  </sheetViews>
  <sheetFormatPr defaultRowHeight="14.5" x14ac:dyDescent="0.35"/>
  <cols>
    <col min="1" max="21" width="4.08203125" customWidth="1"/>
    <col min="22" max="36" width="5" customWidth="1"/>
  </cols>
  <sheetData>
    <row r="1" spans="1:36" x14ac:dyDescent="0.35">
      <c r="A1" s="316" t="s">
        <v>30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A1" s="316"/>
      <c r="AB1" s="316"/>
      <c r="AC1" s="316"/>
      <c r="AD1" s="316"/>
      <c r="AE1" s="316"/>
      <c r="AF1" s="316"/>
      <c r="AG1" s="316"/>
      <c r="AH1" s="316"/>
      <c r="AI1" s="316"/>
      <c r="AJ1" s="316"/>
    </row>
    <row r="2" spans="1:36" x14ac:dyDescent="0.35">
      <c r="A2" s="332" t="s">
        <v>72</v>
      </c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3" t="s">
        <v>215</v>
      </c>
      <c r="W2" s="333"/>
      <c r="X2" s="333"/>
      <c r="Y2" s="333"/>
      <c r="Z2" s="333"/>
      <c r="AA2" s="333" t="s">
        <v>216</v>
      </c>
      <c r="AB2" s="333"/>
      <c r="AC2" s="333"/>
      <c r="AD2" s="333"/>
      <c r="AE2" s="333"/>
      <c r="AF2" s="332" t="s">
        <v>29</v>
      </c>
      <c r="AG2" s="332"/>
      <c r="AH2" s="332"/>
      <c r="AI2" s="332"/>
      <c r="AJ2" s="332"/>
    </row>
    <row r="3" spans="1:36" x14ac:dyDescent="0.35">
      <c r="A3" s="300" t="s">
        <v>67</v>
      </c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2"/>
      <c r="V3" s="78">
        <v>3</v>
      </c>
      <c r="W3" s="78"/>
      <c r="X3" s="78"/>
      <c r="Y3" s="78"/>
      <c r="Z3" s="78"/>
      <c r="AA3" s="78">
        <v>2</v>
      </c>
      <c r="AB3" s="78"/>
      <c r="AC3" s="78"/>
      <c r="AD3" s="78"/>
      <c r="AE3" s="78"/>
      <c r="AF3" s="73">
        <v>0</v>
      </c>
      <c r="AG3" s="73"/>
      <c r="AH3" s="73"/>
      <c r="AI3" s="73"/>
      <c r="AJ3" s="74"/>
    </row>
    <row r="4" spans="1:36" x14ac:dyDescent="0.35">
      <c r="A4" s="303"/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5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6"/>
      <c r="AG4" s="76"/>
      <c r="AH4" s="76"/>
      <c r="AI4" s="76"/>
      <c r="AJ4" s="77"/>
    </row>
    <row r="5" spans="1:36" x14ac:dyDescent="0.35">
      <c r="A5" s="300" t="s">
        <v>68</v>
      </c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2"/>
      <c r="V5" s="78">
        <v>1</v>
      </c>
      <c r="W5" s="78"/>
      <c r="X5" s="78"/>
      <c r="Y5" s="78"/>
      <c r="Z5" s="78"/>
      <c r="AA5" s="78">
        <v>0</v>
      </c>
      <c r="AB5" s="78"/>
      <c r="AC5" s="78"/>
      <c r="AD5" s="78"/>
      <c r="AE5" s="78"/>
      <c r="AF5" s="72">
        <v>0</v>
      </c>
      <c r="AG5" s="73"/>
      <c r="AH5" s="73"/>
      <c r="AI5" s="73"/>
      <c r="AJ5" s="74"/>
    </row>
    <row r="6" spans="1:36" x14ac:dyDescent="0.35">
      <c r="A6" s="303"/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5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5"/>
      <c r="AG6" s="76"/>
      <c r="AH6" s="76"/>
      <c r="AI6" s="76"/>
      <c r="AJ6" s="77"/>
    </row>
    <row r="7" spans="1:36" x14ac:dyDescent="0.35">
      <c r="A7" s="300" t="s">
        <v>69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2"/>
      <c r="V7" s="78">
        <v>4</v>
      </c>
      <c r="W7" s="78"/>
      <c r="X7" s="78"/>
      <c r="Y7" s="78"/>
      <c r="Z7" s="78"/>
      <c r="AA7" s="78">
        <v>3</v>
      </c>
      <c r="AB7" s="78"/>
      <c r="AC7" s="78"/>
      <c r="AD7" s="78"/>
      <c r="AE7" s="78"/>
      <c r="AF7" s="72">
        <v>0</v>
      </c>
      <c r="AG7" s="73"/>
      <c r="AH7" s="73"/>
      <c r="AI7" s="73"/>
      <c r="AJ7" s="74"/>
    </row>
    <row r="8" spans="1:36" x14ac:dyDescent="0.35">
      <c r="A8" s="303"/>
      <c r="B8" s="304"/>
      <c r="C8" s="304"/>
      <c r="D8" s="304"/>
      <c r="E8" s="304"/>
      <c r="F8" s="304"/>
      <c r="G8" s="304"/>
      <c r="H8" s="304"/>
      <c r="I8" s="304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5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5"/>
      <c r="AG8" s="76"/>
      <c r="AH8" s="76"/>
      <c r="AI8" s="76"/>
      <c r="AJ8" s="77"/>
    </row>
    <row r="9" spans="1:36" x14ac:dyDescent="0.35">
      <c r="A9" s="300" t="s">
        <v>70</v>
      </c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2"/>
      <c r="V9" s="78">
        <v>2</v>
      </c>
      <c r="W9" s="78"/>
      <c r="X9" s="78"/>
      <c r="Y9" s="78"/>
      <c r="Z9" s="78"/>
      <c r="AA9" s="78">
        <v>1</v>
      </c>
      <c r="AB9" s="78"/>
      <c r="AC9" s="78"/>
      <c r="AD9" s="78"/>
      <c r="AE9" s="78"/>
      <c r="AF9" s="72">
        <v>0</v>
      </c>
      <c r="AG9" s="73"/>
      <c r="AH9" s="73"/>
      <c r="AI9" s="73"/>
      <c r="AJ9" s="74"/>
    </row>
    <row r="10" spans="1:36" x14ac:dyDescent="0.35">
      <c r="A10" s="303"/>
      <c r="B10" s="304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5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5"/>
      <c r="AG10" s="76"/>
      <c r="AH10" s="76"/>
      <c r="AI10" s="76"/>
      <c r="AJ10" s="77"/>
    </row>
    <row r="11" spans="1:36" x14ac:dyDescent="0.35">
      <c r="A11" s="300" t="s">
        <v>71</v>
      </c>
      <c r="B11" s="301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2"/>
      <c r="V11" s="78">
        <v>2</v>
      </c>
      <c r="W11" s="78"/>
      <c r="X11" s="78"/>
      <c r="Y11" s="78"/>
      <c r="Z11" s="78"/>
      <c r="AA11" s="78">
        <v>0</v>
      </c>
      <c r="AB11" s="78"/>
      <c r="AC11" s="78"/>
      <c r="AD11" s="78"/>
      <c r="AE11" s="78"/>
      <c r="AF11" s="72">
        <v>0</v>
      </c>
      <c r="AG11" s="73"/>
      <c r="AH11" s="73"/>
      <c r="AI11" s="73"/>
      <c r="AJ11" s="74"/>
    </row>
    <row r="12" spans="1:36" x14ac:dyDescent="0.35">
      <c r="A12" s="303"/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5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5"/>
      <c r="AG12" s="76"/>
      <c r="AH12" s="76"/>
      <c r="AI12" s="76"/>
      <c r="AJ12" s="77"/>
    </row>
  </sheetData>
  <mergeCells count="25">
    <mergeCell ref="A11:U12"/>
    <mergeCell ref="V11:Z12"/>
    <mergeCell ref="AA11:AE12"/>
    <mergeCell ref="AF11:AJ12"/>
    <mergeCell ref="A1:AJ1"/>
    <mergeCell ref="A2:U2"/>
    <mergeCell ref="V2:Z2"/>
    <mergeCell ref="AA2:AE2"/>
    <mergeCell ref="AF2:AJ2"/>
    <mergeCell ref="A7:U8"/>
    <mergeCell ref="V7:Z8"/>
    <mergeCell ref="AA7:AE8"/>
    <mergeCell ref="AF7:AJ8"/>
    <mergeCell ref="A9:U10"/>
    <mergeCell ref="V9:Z10"/>
    <mergeCell ref="AA9:AE10"/>
    <mergeCell ref="AF9:AJ10"/>
    <mergeCell ref="A3:U4"/>
    <mergeCell ref="V3:Z4"/>
    <mergeCell ref="AA3:AE4"/>
    <mergeCell ref="AF3:AJ4"/>
    <mergeCell ref="A5:U6"/>
    <mergeCell ref="V5:Z6"/>
    <mergeCell ref="AA5:AE6"/>
    <mergeCell ref="AF5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32</vt:i4>
      </vt:variant>
    </vt:vector>
  </HeadingPairs>
  <TitlesOfParts>
    <vt:vector size="39" baseType="lpstr">
      <vt:lpstr>Generate</vt:lpstr>
      <vt:lpstr>Doc</vt:lpstr>
      <vt:lpstr>Skill Calcs</vt:lpstr>
      <vt:lpstr>Skill Data</vt:lpstr>
      <vt:lpstr>Tier Calcs</vt:lpstr>
      <vt:lpstr>Parameters</vt:lpstr>
      <vt:lpstr>Rules</vt:lpstr>
      <vt:lpstr>_CTier_1</vt:lpstr>
      <vt:lpstr>_CTR_1</vt:lpstr>
      <vt:lpstr>_CTR_2</vt:lpstr>
      <vt:lpstr>_CTR_3</vt:lpstr>
      <vt:lpstr>_CTR_4</vt:lpstr>
      <vt:lpstr>_CTR_5</vt:lpstr>
      <vt:lpstr>_CTR_6</vt:lpstr>
      <vt:lpstr>_CTR_7</vt:lpstr>
      <vt:lpstr>_CTR_8</vt:lpstr>
      <vt:lpstr>_CTR_9</vt:lpstr>
      <vt:lpstr>_S1_Cost</vt:lpstr>
      <vt:lpstr>_Sum_Skill_Costs</vt:lpstr>
      <vt:lpstr>BodyBaseSkills</vt:lpstr>
      <vt:lpstr>MindBaseSkills</vt:lpstr>
      <vt:lpstr>S_TN_1</vt:lpstr>
      <vt:lpstr>S_TN_2</vt:lpstr>
      <vt:lpstr>S_TN_3</vt:lpstr>
      <vt:lpstr>S_TN_4</vt:lpstr>
      <vt:lpstr>S_TN_5</vt:lpstr>
      <vt:lpstr>S_TN_6</vt:lpstr>
      <vt:lpstr>S_TN_7</vt:lpstr>
      <vt:lpstr>S_TN_8</vt:lpstr>
      <vt:lpstr>S_TN_9</vt:lpstr>
      <vt:lpstr>SR_1</vt:lpstr>
      <vt:lpstr>SR_2</vt:lpstr>
      <vt:lpstr>SR_3</vt:lpstr>
      <vt:lpstr>SR_4</vt:lpstr>
      <vt:lpstr>SR_5</vt:lpstr>
      <vt:lpstr>SR_6</vt:lpstr>
      <vt:lpstr>SR_7</vt:lpstr>
      <vt:lpstr>SR_8</vt:lpstr>
      <vt:lpstr>SR_9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 Bastian</dc:creator>
  <cp:lastModifiedBy>John Bastian</cp:lastModifiedBy>
  <cp:lastPrinted>2022-01-12T03:49:54Z</cp:lastPrinted>
  <dcterms:created xsi:type="dcterms:W3CDTF">2021-12-15T12:28:39Z</dcterms:created>
  <dcterms:modified xsi:type="dcterms:W3CDTF">2022-01-19T13:40:17Z</dcterms:modified>
</cp:coreProperties>
</file>