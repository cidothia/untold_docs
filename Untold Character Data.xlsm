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namedSheetViews/namedSheetView1.xml" ContentType="application/vnd.ms-excel.namedsheetview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3d0be08dd303885/Documents/RPG/Untold RPG/"/>
    </mc:Choice>
  </mc:AlternateContent>
  <xr:revisionPtr revIDLastSave="152" documentId="8_{A892CECB-75D8-4F0F-ACAC-6AA2127D5B38}" xr6:coauthVersionLast="47" xr6:coauthVersionMax="47" xr10:uidLastSave="{F2DDBD96-346C-4B95-91FC-1D93C6933FA7}"/>
  <bookViews>
    <workbookView xWindow="-120" yWindow="-120" windowWidth="29040" windowHeight="16440" activeTab="2" xr2:uid="{B08EC5AE-2733-4F38-B4CD-D3B7BD12B24B}"/>
  </bookViews>
  <sheets>
    <sheet name="Doc" sheetId="1" r:id="rId1"/>
    <sheet name="Character Controls" sheetId="16" r:id="rId2"/>
    <sheet name="Proficiency" sheetId="15" r:id="rId3"/>
    <sheet name="Morals" sheetId="10" r:id="rId4"/>
    <sheet name="Parameters" sheetId="5" r:id="rId5"/>
    <sheet name="Characteristics" sheetId="13" r:id="rId6"/>
    <sheet name="Skill List" sheetId="14" r:id="rId7"/>
    <sheet name="Glossary" sheetId="12" r:id="rId8"/>
    <sheet name="Tier Constraints" sheetId="6" r:id="rId9"/>
  </sheets>
  <externalReferences>
    <externalReference r:id="rId10"/>
  </externalReferences>
  <definedNames>
    <definedName name="_ACTR_1" localSheetId="3">'[1]Skill Calcs'!$Q$2</definedName>
    <definedName name="_ACTR_1">#REF!</definedName>
    <definedName name="_ACTR_2">#REF!</definedName>
    <definedName name="_ACTR_3">#REF!</definedName>
    <definedName name="_ACTR_4">#REF!</definedName>
    <definedName name="_ACTR_5">#REF!</definedName>
    <definedName name="_ACTR_6">#REF!</definedName>
    <definedName name="_ACTR_7">#REF!</definedName>
    <definedName name="_ACTR_8">#REF!</definedName>
    <definedName name="_ACTR_9">#REF!</definedName>
    <definedName name="_AE_CBulk_1">#REF!</definedName>
    <definedName name="_AE_CBulk_2">#REF!</definedName>
    <definedName name="_AE_CBulk_3">#REF!</definedName>
    <definedName name="_AE_CBulk_4">#REF!</definedName>
    <definedName name="_AE_CBulk_5">#REF!</definedName>
    <definedName name="_AE_CBulk_6">#REF!</definedName>
    <definedName name="_AE_CBulk_7">#REF!</definedName>
    <definedName name="_AE_CBulk_8">#REF!</definedName>
    <definedName name="_AE_CBulk_9">#REF!</definedName>
    <definedName name="_AE_CCost_1">#REF!</definedName>
    <definedName name="_AE_CCost_2">#REF!</definedName>
    <definedName name="_AE_CCost_3">#REF!</definedName>
    <definedName name="_AE_CCost_4">#REF!</definedName>
    <definedName name="_AE_CCost_5">#REF!</definedName>
    <definedName name="_AE_CCost_6">#REF!</definedName>
    <definedName name="_AE_CCost_7">#REF!</definedName>
    <definedName name="_AE_CCost_8">#REF!</definedName>
    <definedName name="_AE_CCost_9">#REF!</definedName>
    <definedName name="_CTR_2" localSheetId="3">'[1]Skill Calcs'!$Q$3</definedName>
    <definedName name="_CTR_3" localSheetId="3">'[1]Skill Calcs'!$Q$4</definedName>
    <definedName name="_CTR_4" localSheetId="3">'[1]Skill Calcs'!$Q$5</definedName>
    <definedName name="_CTR_5" localSheetId="3">'[1]Skill Calcs'!$Q$6</definedName>
    <definedName name="_CTR_6" localSheetId="3">'[1]Skill Calcs'!$Q$7</definedName>
    <definedName name="_CTR_7" localSheetId="3">'[1]Skill Calcs'!$Q$8</definedName>
    <definedName name="_CTR_8" localSheetId="3">'[1]Skill Calcs'!$Q$9</definedName>
    <definedName name="_CTR_9" localSheetId="3">'[1]Skill Calcs'!$Q$10</definedName>
    <definedName name="_EqArmor_CBulk_1">#REF!</definedName>
    <definedName name="_EqArmor_CCost_1">#REF!</definedName>
    <definedName name="_Lang_CTR">#REF!</definedName>
    <definedName name="_OCTR_1">#REF!</definedName>
    <definedName name="_OCTR_2">#REF!</definedName>
    <definedName name="_OCTR_3">#REF!</definedName>
    <definedName name="_OCTR_4">#REF!</definedName>
    <definedName name="_OE_CBulk_1">#REF!</definedName>
    <definedName name="_OE_CBulk_2">#REF!</definedName>
    <definedName name="_OE_CBulk_3">#REF!</definedName>
    <definedName name="_OE_CBulk_4">#REF!</definedName>
    <definedName name="_OE_CCost_1">#REF!</definedName>
    <definedName name="_OE_CCost_2">#REF!</definedName>
    <definedName name="_OE_CCost_3">#REF!</definedName>
    <definedName name="_OE_CCost_4">#REF!</definedName>
    <definedName name="_Sum_Skill_Costs" localSheetId="3">'[1]Skill Calcs'!$S$11</definedName>
    <definedName name="_Sum_Skill_Costs">#REF!</definedName>
    <definedName name="A_Area_1">Doc!#REF!</definedName>
    <definedName name="A_Area_2">Doc!#REF!</definedName>
    <definedName name="A_Area_3">Doc!#REF!</definedName>
    <definedName name="A_Area_4">Doc!#REF!</definedName>
    <definedName name="A_Area_5">Doc!#REF!</definedName>
    <definedName name="A_Area_6">Doc!#REF!</definedName>
    <definedName name="A_Area_7">Doc!#REF!</definedName>
    <definedName name="A_Area_8">Doc!#REF!</definedName>
    <definedName name="A_Area_9">Doc!#REF!</definedName>
    <definedName name="A_Bolster_1">Doc!#REF!</definedName>
    <definedName name="A_Bolster_2">Doc!#REF!</definedName>
    <definedName name="A_Bolster_3">Doc!#REF!</definedName>
    <definedName name="A_Bolster_4">Doc!#REF!</definedName>
    <definedName name="A_Bolster_5">Doc!#REF!</definedName>
    <definedName name="A_Bolster_6">Doc!#REF!</definedName>
    <definedName name="A_Bolster_7">Doc!#REF!</definedName>
    <definedName name="A_Bolster_8">Doc!#REF!</definedName>
    <definedName name="A_Bolster_9">Doc!#REF!</definedName>
    <definedName name="A_Boost_1">Doc!#REF!</definedName>
    <definedName name="A_Boost_2">Doc!#REF!</definedName>
    <definedName name="A_Boost_3">Doc!#REF!</definedName>
    <definedName name="A_Boost_4">Doc!#REF!</definedName>
    <definedName name="A_Boost_5">Doc!#REF!</definedName>
    <definedName name="A_Boost_6">Doc!#REF!</definedName>
    <definedName name="A_Boost_7">Doc!#REF!</definedName>
    <definedName name="A_Boost_8">Doc!#REF!</definedName>
    <definedName name="A_Boost_9">Doc!#REF!</definedName>
    <definedName name="A_Bulk_1">Doc!#REF!</definedName>
    <definedName name="A_Bulk_2">Doc!#REF!</definedName>
    <definedName name="A_Bulk_3">Doc!#REF!</definedName>
    <definedName name="A_Bulk_4">Doc!#REF!</definedName>
    <definedName name="A_Bulk_5">Doc!#REF!</definedName>
    <definedName name="A_Bulk_6">Doc!#REF!</definedName>
    <definedName name="A_Bulk_7">Doc!#REF!</definedName>
    <definedName name="A_Bulk_8">Doc!#REF!</definedName>
    <definedName name="A_Bulk_9">Doc!#REF!</definedName>
    <definedName name="A_Dura_1">Doc!#REF!</definedName>
    <definedName name="A_Dura_2">Doc!#REF!</definedName>
    <definedName name="A_Dura_3">Doc!#REF!</definedName>
    <definedName name="A_Dura_4">Doc!#REF!</definedName>
    <definedName name="A_Dura_5">Doc!#REF!</definedName>
    <definedName name="A_Dura_6">Doc!#REF!</definedName>
    <definedName name="A_Dura_7">Doc!#REF!</definedName>
    <definedName name="A_Dura_8">Doc!#REF!</definedName>
    <definedName name="A_Dura_9">Doc!#REF!</definedName>
    <definedName name="A_Enhance_1">Doc!#REF!</definedName>
    <definedName name="A_Enhance_2">Doc!#REF!</definedName>
    <definedName name="A_Enhance_3">Doc!#REF!</definedName>
    <definedName name="A_Enhance_4">Doc!#REF!</definedName>
    <definedName name="A_Enhance_5">Doc!#REF!</definedName>
    <definedName name="A_Enhance_6">Doc!#REF!</definedName>
    <definedName name="A_Enhance_7">Doc!#REF!</definedName>
    <definedName name="A_Enhance_8">Doc!#REF!</definedName>
    <definedName name="A_Enhance_9">Doc!#REF!</definedName>
    <definedName name="A_Potency_1">Doc!#REF!</definedName>
    <definedName name="A_Potency_2">Doc!#REF!</definedName>
    <definedName name="A_Potency_3">Doc!#REF!</definedName>
    <definedName name="A_Potency_4">Doc!#REF!</definedName>
    <definedName name="A_Potency_5">Doc!#REF!</definedName>
    <definedName name="A_Potency_6">Doc!#REF!</definedName>
    <definedName name="A_Potency_7">Doc!#REF!</definedName>
    <definedName name="A_Potency_8">Doc!#REF!</definedName>
    <definedName name="A_Potency_9">Doc!#REF!</definedName>
    <definedName name="A_Range_1">Doc!#REF!</definedName>
    <definedName name="A_Range_2">Doc!#REF!</definedName>
    <definedName name="A_Range_3">Doc!#REF!</definedName>
    <definedName name="A_Range_4">Doc!#REF!</definedName>
    <definedName name="A_Range_5">Doc!#REF!</definedName>
    <definedName name="A_Range_6">Doc!#REF!</definedName>
    <definedName name="A_Range_7">Doc!#REF!</definedName>
    <definedName name="A_Range_8">Doc!#REF!</definedName>
    <definedName name="A_Range_9">Doc!#REF!</definedName>
    <definedName name="A_Sleek_1">Doc!#REF!</definedName>
    <definedName name="A_Sleek_2">Doc!#REF!</definedName>
    <definedName name="A_Sleek_3">Doc!#REF!</definedName>
    <definedName name="A_Sleek_4">Doc!#REF!</definedName>
    <definedName name="A_Sleek_5">Doc!#REF!</definedName>
    <definedName name="A_Sleek_6">Doc!#REF!</definedName>
    <definedName name="A_Sleek_7">Doc!#REF!</definedName>
    <definedName name="A_Sleek_8">Doc!#REF!</definedName>
    <definedName name="A_Sleek_9">Doc!#REF!</definedName>
    <definedName name="A_SR_1">Doc!#REF!</definedName>
    <definedName name="A_SR_2">Doc!#REF!</definedName>
    <definedName name="A_SR_3">Doc!#REF!</definedName>
    <definedName name="A_SR_4">Doc!#REF!</definedName>
    <definedName name="A_SR_5">Doc!#REF!</definedName>
    <definedName name="A_SR_6">Doc!#REF!</definedName>
    <definedName name="A_SR_7">Doc!#REF!</definedName>
    <definedName name="A_SR_8">Doc!#REF!</definedName>
    <definedName name="A_SR_9">Doc!#REF!</definedName>
    <definedName name="A_TN_1">Doc!#REF!</definedName>
    <definedName name="A_TN_2">Doc!#REF!</definedName>
    <definedName name="A_TN_3">Doc!#REF!</definedName>
    <definedName name="A_TN_4">Doc!#REF!</definedName>
    <definedName name="A_TN_5">Doc!#REF!</definedName>
    <definedName name="A_TN_6">Doc!#REF!</definedName>
    <definedName name="A_TN_7">Doc!#REF!</definedName>
    <definedName name="A_TN_8">Doc!#REF!</definedName>
    <definedName name="A_TN_9">Doc!#REF!</definedName>
    <definedName name="AE_Cost_1">Doc!#REF!</definedName>
    <definedName name="AE_Cost_2">Doc!#REF!</definedName>
    <definedName name="AE_Cost_3">Doc!#REF!</definedName>
    <definedName name="AE_Cost_4">Doc!#REF!</definedName>
    <definedName name="AE_Cost_5">Doc!#REF!</definedName>
    <definedName name="AE_Cost_6">Doc!#REF!</definedName>
    <definedName name="AE_Cost_7">Doc!#REF!</definedName>
    <definedName name="AE_Cost_8">Doc!#REF!</definedName>
    <definedName name="AE_Cost_9">Doc!#REF!</definedName>
    <definedName name="ATR_1">Doc!#REF!</definedName>
    <definedName name="ATR_2">Doc!#REF!</definedName>
    <definedName name="ATR_3">Doc!#REF!</definedName>
    <definedName name="ATR_4">Doc!#REF!</definedName>
    <definedName name="ATR_5">Doc!#REF!</definedName>
    <definedName name="ATR_6">Doc!#REF!</definedName>
    <definedName name="ATR_7">Doc!#REF!</definedName>
    <definedName name="ATR_8">Doc!#REF!</definedName>
    <definedName name="ATR_9">Doc!#REF!</definedName>
    <definedName name="BroadSkillAspects">#REF!</definedName>
    <definedName name="BroadSkills">#REF!</definedName>
    <definedName name="EdgeCosts">#REF!</definedName>
    <definedName name="EqArmor_AR_1">Doc!#REF!</definedName>
    <definedName name="EqArmor_Area_1">Doc!#REF!</definedName>
    <definedName name="EqArmor_Bolster_1">Doc!#REF!</definedName>
    <definedName name="EqArmor_Boost_1">Doc!#REF!</definedName>
    <definedName name="EqArmor_Bulk_1">Doc!#REF!</definedName>
    <definedName name="EqArmor_Cost_1">Doc!#REF!</definedName>
    <definedName name="EqArmor_Dura_1">Doc!#REF!</definedName>
    <definedName name="EqArmor_Enhance_1">Doc!#REF!</definedName>
    <definedName name="EqArmor_Range_1">Doc!#REF!</definedName>
    <definedName name="EqArmor_Sleek_1">Doc!#REF!</definedName>
    <definedName name="GearCosts">Doc!$FA$102</definedName>
    <definedName name="Lang_SR">Doc!#REF!</definedName>
    <definedName name="Lang_TN">Doc!#REF!</definedName>
    <definedName name="Lang_TR">Doc!#REF!</definedName>
    <definedName name="O_Area_1">Doc!#REF!</definedName>
    <definedName name="O_Area_2">Doc!#REF!</definedName>
    <definedName name="O_Area_3">Doc!#REF!</definedName>
    <definedName name="O_Area_4">Doc!#REF!</definedName>
    <definedName name="O_Bolster_1">Doc!#REF!</definedName>
    <definedName name="O_Bolster_2">Doc!#REF!</definedName>
    <definedName name="O_Bolster_3">Doc!#REF!</definedName>
    <definedName name="O_Bolster_4">Doc!#REF!</definedName>
    <definedName name="O_Boost_1">Doc!#REF!</definedName>
    <definedName name="O_Boost_2">Doc!#REF!</definedName>
    <definedName name="O_Boost_3">Doc!#REF!</definedName>
    <definedName name="O_Boost_4">Doc!#REF!</definedName>
    <definedName name="O_Bulk_1">Doc!#REF!</definedName>
    <definedName name="O_Bulk_2">Doc!#REF!</definedName>
    <definedName name="O_Bulk_3">Doc!#REF!</definedName>
    <definedName name="O_Bulk_4">Doc!#REF!</definedName>
    <definedName name="O_Dura_1">Doc!#REF!</definedName>
    <definedName name="O_Dura_2">Doc!#REF!</definedName>
    <definedName name="O_Dura_3">Doc!#REF!</definedName>
    <definedName name="O_Dura_4">Doc!#REF!</definedName>
    <definedName name="O_Enhance_1">Doc!#REF!</definedName>
    <definedName name="O_Enhance_2">Doc!#REF!</definedName>
    <definedName name="O_Enhance_3">Doc!#REF!</definedName>
    <definedName name="O_Enhance_4">Doc!#REF!</definedName>
    <definedName name="O_Potency_1">Doc!#REF!</definedName>
    <definedName name="O_Potency_2">Doc!#REF!</definedName>
    <definedName name="O_Potency_3">Doc!#REF!</definedName>
    <definedName name="O_Potency_4">Doc!#REF!</definedName>
    <definedName name="O_Range_1">Doc!#REF!</definedName>
    <definedName name="O_Range_2">Doc!#REF!</definedName>
    <definedName name="O_Range_3">Doc!#REF!</definedName>
    <definedName name="O_Range_4">Doc!#REF!</definedName>
    <definedName name="O_Sleek_1">Doc!#REF!</definedName>
    <definedName name="O_Sleek_2">Doc!#REF!</definedName>
    <definedName name="O_Sleek_3">Doc!#REF!</definedName>
    <definedName name="O_Sleek_4">Doc!#REF!</definedName>
    <definedName name="O_SR_1" comment="Crafting &amp; Knowledge Skill Rank 1">Doc!#REF!</definedName>
    <definedName name="O_SR_2">Doc!#REF!</definedName>
    <definedName name="O_SR_3">Doc!#REF!</definedName>
    <definedName name="O_SR_4">Doc!#REF!</definedName>
    <definedName name="O_TN_1">Doc!#REF!</definedName>
    <definedName name="O_TN_2">Doc!#REF!</definedName>
    <definedName name="O_TN_3">Doc!#REF!</definedName>
    <definedName name="O_TN_4">Doc!#REF!</definedName>
    <definedName name="O_TR_1">Doc!#REF!</definedName>
    <definedName name="O_TR_2">Doc!#REF!</definedName>
    <definedName name="O_TR_3">Doc!#REF!</definedName>
    <definedName name="O_TR_4">Doc!#REF!</definedName>
    <definedName name="OE_Cost_1">Doc!#REF!</definedName>
    <definedName name="OE_Cost_2">Doc!#REF!</definedName>
    <definedName name="OE_Cost_3">Doc!#REF!</definedName>
    <definedName name="OE_Cost_4">Doc!#REF!</definedName>
    <definedName name="S_TN_1" localSheetId="3">[1]Doc!$AP$7</definedName>
    <definedName name="S_TN_2" localSheetId="3">[1]Doc!$AP$17</definedName>
    <definedName name="S_TN_3" localSheetId="3">[1]Doc!$AP$27</definedName>
    <definedName name="S_TN_4" localSheetId="3">[1]Doc!$AP$37</definedName>
    <definedName name="S_TN_5" localSheetId="3">[1]Doc!$AP$47</definedName>
    <definedName name="S_TN_6" localSheetId="3">[1]Doc!$AP$57</definedName>
    <definedName name="S_TN_7" localSheetId="3">[1]Doc!$AP$67</definedName>
    <definedName name="S_TN_8" localSheetId="3">[1]Doc!$AP$77</definedName>
    <definedName name="S_TN_9" localSheetId="3">[1]Doc!$AP$87</definedName>
    <definedName name="SR_1" localSheetId="3">[1]Doc!$AH$7</definedName>
    <definedName name="SR_2" localSheetId="3">[1]Doc!$AH$17</definedName>
    <definedName name="SR_3" localSheetId="3">[1]Doc!$AH$27</definedName>
    <definedName name="SR_4" localSheetId="3">[1]Doc!$AH$37</definedName>
    <definedName name="SR_5" localSheetId="3">[1]Doc!$AH$47</definedName>
    <definedName name="SR_6" localSheetId="3">[1]Doc!$AH$57</definedName>
    <definedName name="SR_7" localSheetId="3">[1]Doc!$AH$67</definedName>
    <definedName name="SR_8" localSheetId="3">[1]Doc!$AH$77</definedName>
    <definedName name="SR_9" localSheetId="3">[1]Doc!$AH$87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5" l="1"/>
  <c r="G2" i="15"/>
  <c r="C2" i="15"/>
  <c r="H3" i="14"/>
  <c r="H4" i="14" s="1"/>
  <c r="H5" i="14" s="1"/>
  <c r="H6" i="14" s="1"/>
  <c r="H7" i="14" s="1"/>
  <c r="H8" i="14" s="1"/>
  <c r="H9" i="14" s="1"/>
  <c r="H10" i="14" s="1"/>
  <c r="H11" i="14" s="1"/>
  <c r="H12" i="14" s="1"/>
  <c r="H13" i="14" s="1"/>
  <c r="H14" i="14" s="1"/>
  <c r="CA33" i="1"/>
  <c r="BR22" i="1"/>
  <c r="CA11" i="1"/>
  <c r="G20" i="6" l="1"/>
  <c r="H20" i="6"/>
  <c r="I20" i="6"/>
  <c r="J20" i="6"/>
  <c r="K20" i="6"/>
  <c r="M21" i="6"/>
  <c r="C22" i="6"/>
  <c r="D22" i="6"/>
  <c r="E22" i="6"/>
  <c r="H23" i="6"/>
  <c r="I23" i="6"/>
  <c r="J23" i="6"/>
  <c r="C26" i="6"/>
  <c r="D26" i="6"/>
  <c r="E26" i="6"/>
  <c r="F26" i="6"/>
  <c r="G26" i="6"/>
  <c r="H26" i="6"/>
  <c r="I26" i="6"/>
  <c r="C27" i="6"/>
  <c r="E27" i="6"/>
  <c r="H27" i="6"/>
  <c r="I27" i="6"/>
  <c r="J27" i="6"/>
  <c r="K27" i="6"/>
  <c r="L27" i="6"/>
  <c r="M27" i="6"/>
  <c r="C28" i="6"/>
  <c r="H28" i="6"/>
  <c r="J28" i="6"/>
  <c r="M28" i="6"/>
  <c r="C29" i="6"/>
  <c r="D29" i="6"/>
  <c r="E29" i="6"/>
  <c r="F29" i="6"/>
  <c r="G29" i="6"/>
  <c r="H29" i="6"/>
  <c r="D30" i="6"/>
  <c r="E30" i="6"/>
  <c r="G30" i="6"/>
  <c r="H30" i="6"/>
  <c r="I30" i="6"/>
  <c r="J30" i="6"/>
  <c r="K30" i="6"/>
  <c r="L30" i="6"/>
  <c r="M30" i="6"/>
  <c r="B26" i="6"/>
  <c r="C19" i="6"/>
  <c r="D19" i="6"/>
  <c r="E19" i="6"/>
  <c r="F19" i="6"/>
  <c r="G19" i="6"/>
  <c r="B19" i="6"/>
  <c r="L15" i="6"/>
  <c r="I29" i="6" s="1"/>
  <c r="M15" i="6"/>
  <c r="B30" i="6" s="1"/>
  <c r="B15" i="6"/>
  <c r="H19" i="6" s="1"/>
  <c r="C15" i="6"/>
  <c r="L20" i="6" s="1"/>
  <c r="D15" i="6"/>
  <c r="C21" i="6" s="1"/>
  <c r="E15" i="6"/>
  <c r="F22" i="6" s="1"/>
  <c r="F15" i="6"/>
  <c r="K23" i="6" s="1"/>
  <c r="G15" i="6"/>
  <c r="D24" i="6" s="1"/>
  <c r="H15" i="6"/>
  <c r="E25" i="6" s="1"/>
  <c r="I15" i="6"/>
  <c r="J26" i="6" s="1"/>
  <c r="K15" i="6"/>
  <c r="D28" i="6" s="1"/>
  <c r="J15" i="6"/>
  <c r="B27" i="6" s="1"/>
  <c r="BI33" i="1"/>
  <c r="BI11" i="1"/>
  <c r="L24" i="6" l="1"/>
  <c r="L21" i="6"/>
  <c r="B20" i="6"/>
  <c r="K21" i="6"/>
  <c r="B21" i="6"/>
  <c r="I24" i="6"/>
  <c r="D23" i="6"/>
  <c r="E20" i="6"/>
  <c r="F20" i="6"/>
  <c r="J21" i="6"/>
  <c r="B22" i="6"/>
  <c r="F30" i="6"/>
  <c r="L28" i="6"/>
  <c r="G27" i="6"/>
  <c r="M25" i="6"/>
  <c r="H24" i="6"/>
  <c r="C23" i="6"/>
  <c r="I21" i="6"/>
  <c r="D20" i="6"/>
  <c r="B23" i="6"/>
  <c r="K28" i="6"/>
  <c r="F27" i="6"/>
  <c r="L25" i="6"/>
  <c r="G24" i="6"/>
  <c r="M22" i="6"/>
  <c r="H21" i="6"/>
  <c r="C20" i="6"/>
  <c r="D25" i="6"/>
  <c r="G23" i="6"/>
  <c r="F24" i="6"/>
  <c r="L22" i="6"/>
  <c r="G21" i="6"/>
  <c r="M19" i="6"/>
  <c r="B25" i="6"/>
  <c r="C30" i="6"/>
  <c r="I28" i="6"/>
  <c r="D27" i="6"/>
  <c r="J25" i="6"/>
  <c r="E24" i="6"/>
  <c r="K22" i="6"/>
  <c r="F21" i="6"/>
  <c r="C25" i="6"/>
  <c r="K24" i="6"/>
  <c r="K25" i="6"/>
  <c r="M29" i="6"/>
  <c r="I25" i="6"/>
  <c r="K19" i="6"/>
  <c r="L29" i="6"/>
  <c r="G28" i="6"/>
  <c r="M26" i="6"/>
  <c r="H25" i="6"/>
  <c r="C24" i="6"/>
  <c r="I22" i="6"/>
  <c r="D21" i="6"/>
  <c r="M24" i="6"/>
  <c r="J24" i="6"/>
  <c r="E21" i="6"/>
  <c r="J19" i="6"/>
  <c r="B28" i="6"/>
  <c r="K29" i="6"/>
  <c r="F28" i="6"/>
  <c r="L26" i="6"/>
  <c r="G25" i="6"/>
  <c r="M23" i="6"/>
  <c r="H22" i="6"/>
  <c r="E23" i="6"/>
  <c r="B24" i="6"/>
  <c r="L19" i="6"/>
  <c r="J22" i="6"/>
  <c r="I19" i="6"/>
  <c r="B29" i="6"/>
  <c r="J29" i="6"/>
  <c r="E28" i="6"/>
  <c r="K26" i="6"/>
  <c r="F25" i="6"/>
  <c r="L23" i="6"/>
  <c r="G22" i="6"/>
  <c r="M20" i="6"/>
  <c r="F23" i="6"/>
  <c r="EV100" i="1" l="1" a="1"/>
  <c r="EV100" i="1" s="1"/>
  <c r="FJ10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<sst xmlns="http://schemas.openxmlformats.org/spreadsheetml/2006/main" count="985" uniqueCount="624">
  <si>
    <t>Name:</t>
  </si>
  <si>
    <t>Species:</t>
  </si>
  <si>
    <t>Untold RPG</t>
  </si>
  <si>
    <t>Body</t>
  </si>
  <si>
    <t>Wounds &amp; Exertion</t>
  </si>
  <si>
    <t>Mind</t>
  </si>
  <si>
    <t>Endurance</t>
  </si>
  <si>
    <t>Tenacity</t>
  </si>
  <si>
    <t>Resilience</t>
  </si>
  <si>
    <t>Wounds</t>
  </si>
  <si>
    <t>Strain</t>
  </si>
  <si>
    <t>↘</t>
  </si>
  <si>
    <t>↙</t>
  </si>
  <si>
    <t>Vitality</t>
  </si>
  <si>
    <t>Sanity</t>
  </si>
  <si>
    <t>TN</t>
  </si>
  <si>
    <t>SR</t>
  </si>
  <si>
    <t>TR</t>
  </si>
  <si>
    <t>Skill</t>
  </si>
  <si>
    <t>base</t>
  </si>
  <si>
    <t>Conduct</t>
  </si>
  <si>
    <t>Cost</t>
  </si>
  <si>
    <t>Moral Code</t>
  </si>
  <si>
    <t>Currency Rank</t>
  </si>
  <si>
    <t>Society Rank</t>
  </si>
  <si>
    <t>Motivations &amp; Goals</t>
  </si>
  <si>
    <t>Description &amp; Traits</t>
  </si>
  <si>
    <t>AP</t>
  </si>
  <si>
    <t>spnt</t>
  </si>
  <si>
    <t>earn</t>
  </si>
  <si>
    <t>creation</t>
  </si>
  <si>
    <t>Cognition</t>
  </si>
  <si>
    <t>Craft</t>
  </si>
  <si>
    <t>Handling</t>
  </si>
  <si>
    <t>Infiltration</t>
  </si>
  <si>
    <t>Influence</t>
  </si>
  <si>
    <t>Knowledge</t>
  </si>
  <si>
    <t>Language</t>
  </si>
  <si>
    <t>Performance</t>
  </si>
  <si>
    <t>Piloting</t>
  </si>
  <si>
    <t>Survival</t>
  </si>
  <si>
    <t>Athletics</t>
  </si>
  <si>
    <t>Coordination</t>
  </si>
  <si>
    <t>Devotion</t>
  </si>
  <si>
    <t>Favor</t>
  </si>
  <si>
    <t>Spirit</t>
  </si>
  <si>
    <t>Will</t>
  </si>
  <si>
    <t>Killing</t>
  </si>
  <si>
    <t>Lying</t>
  </si>
  <si>
    <t>Breaking Word</t>
  </si>
  <si>
    <t>Stealing</t>
  </si>
  <si>
    <t>Denying Aid</t>
  </si>
  <si>
    <t>Conducts</t>
  </si>
  <si>
    <t>Target Number</t>
  </si>
  <si>
    <t>Rank</t>
  </si>
  <si>
    <t>Tier</t>
  </si>
  <si>
    <t>Target</t>
  </si>
  <si>
    <t>ava</t>
  </si>
  <si>
    <t>Engaged</t>
  </si>
  <si>
    <t>Close</t>
  </si>
  <si>
    <t>Near</t>
  </si>
  <si>
    <t>Short</t>
  </si>
  <si>
    <t>Apart</t>
  </si>
  <si>
    <t>Vast</t>
  </si>
  <si>
    <t>Continent</t>
  </si>
  <si>
    <t>World</t>
  </si>
  <si>
    <t>System</t>
  </si>
  <si>
    <t>Beyond</t>
  </si>
  <si>
    <t>It would take you several days to walk there.</t>
  </si>
  <si>
    <t>You could walk there in a day</t>
  </si>
  <si>
    <t>You could walk there in less than an hour</t>
  </si>
  <si>
    <t>You could see them unaided if you had 20/20 vision.</t>
  </si>
  <si>
    <t>Landmass away, an epic walk</t>
  </si>
  <si>
    <t>The entire Solar System contained by the Heliosphere of the Sun(s)</t>
  </si>
  <si>
    <t>Pretty much any distance, recommend that it isn't the entire galaxy.</t>
  </si>
  <si>
    <t>Instant</t>
  </si>
  <si>
    <t>a heartbeat</t>
  </si>
  <si>
    <t>Decade</t>
  </si>
  <si>
    <t>Year</t>
  </si>
  <si>
    <t>Season</t>
  </si>
  <si>
    <t>Scene</t>
  </si>
  <si>
    <t>Day</t>
  </si>
  <si>
    <t>Durations</t>
  </si>
  <si>
    <t>Potency</t>
  </si>
  <si>
    <t>-</t>
  </si>
  <si>
    <t>Range &amp; Area (Assign Cost Twice)</t>
  </si>
  <si>
    <t>InT</t>
  </si>
  <si>
    <t>OutT</t>
  </si>
  <si>
    <t>TN 9</t>
  </si>
  <si>
    <t>TN 10</t>
  </si>
  <si>
    <t>TN 8</t>
  </si>
  <si>
    <t>TN 7</t>
  </si>
  <si>
    <t>TN 6</t>
  </si>
  <si>
    <t>TN 5</t>
  </si>
  <si>
    <t>TN 4</t>
  </si>
  <si>
    <t>TN 2</t>
  </si>
  <si>
    <t>TN 3</t>
  </si>
  <si>
    <t>TN 1</t>
  </si>
  <si>
    <t>TN 11</t>
  </si>
  <si>
    <t>TN 12</t>
  </si>
  <si>
    <t>Facing</t>
  </si>
  <si>
    <t>Number of Dice</t>
  </si>
  <si>
    <t>S Rank</t>
  </si>
  <si>
    <t>City</t>
  </si>
  <si>
    <t>Novice</t>
  </si>
  <si>
    <t>Amateur</t>
  </si>
  <si>
    <t>Competent</t>
  </si>
  <si>
    <t>Practiced</t>
  </si>
  <si>
    <t>Proficient</t>
  </si>
  <si>
    <t>Adept</t>
  </si>
  <si>
    <t>Accomplished</t>
  </si>
  <si>
    <t>Veteran</t>
  </si>
  <si>
    <t>Expert</t>
  </si>
  <si>
    <t>Master</t>
  </si>
  <si>
    <t>Renowned</t>
  </si>
  <si>
    <t>Legendary</t>
  </si>
  <si>
    <t>Title</t>
  </si>
  <si>
    <t>Aspect</t>
  </si>
  <si>
    <t>Month</t>
  </si>
  <si>
    <t>Week</t>
  </si>
  <si>
    <t>Lifetime</t>
  </si>
  <si>
    <t>3 rounds</t>
  </si>
  <si>
    <t>6 rounds</t>
  </si>
  <si>
    <t>the turning of a planet</t>
  </si>
  <si>
    <t>Solstice to Equinox or vice versa</t>
  </si>
  <si>
    <t>a grouping of days, determined by a calendar</t>
  </si>
  <si>
    <t>the lifetime of the target</t>
  </si>
  <si>
    <t>Permanent</t>
  </si>
  <si>
    <t>incalculable duration</t>
  </si>
  <si>
    <t>within reach</t>
  </si>
  <si>
    <t>self or target</t>
  </si>
  <si>
    <t>Distant</t>
  </si>
  <si>
    <t>In Tribe</t>
  </si>
  <si>
    <t>Out of Tribe</t>
  </si>
  <si>
    <t>Active Skills:</t>
  </si>
  <si>
    <t>BTR</t>
  </si>
  <si>
    <t>BDR</t>
  </si>
  <si>
    <t>MDR</t>
  </si>
  <si>
    <t>MTR</t>
  </si>
  <si>
    <t>Boost</t>
  </si>
  <si>
    <t>Bolster</t>
  </si>
  <si>
    <t>Enhance</t>
  </si>
  <si>
    <t>Total</t>
  </si>
  <si>
    <t>NGL</t>
  </si>
  <si>
    <t>ESY</t>
  </si>
  <si>
    <t>AVG</t>
  </si>
  <si>
    <t>DAU</t>
  </si>
  <si>
    <t>FOR</t>
  </si>
  <si>
    <t>ARD</t>
  </si>
  <si>
    <t>SEV</t>
  </si>
  <si>
    <t>EXT</t>
  </si>
  <si>
    <t>ABS</t>
  </si>
  <si>
    <t>IMP</t>
  </si>
  <si>
    <t>TAX</t>
  </si>
  <si>
    <t>BAF</t>
  </si>
  <si>
    <t>DEM</t>
  </si>
  <si>
    <t>Represents the facet of Exertion which is attacked by opponents</t>
  </si>
  <si>
    <t>Exertion</t>
  </si>
  <si>
    <t>Wound</t>
  </si>
  <si>
    <t>Represents the facet of Devotion which Characters spend to add dice to the pool</t>
  </si>
  <si>
    <t>Abbreviation for Villain Points</t>
  </si>
  <si>
    <t>Playing</t>
  </si>
  <si>
    <t>VP</t>
  </si>
  <si>
    <t>Tertiary Exertion for the Body Aspect</t>
  </si>
  <si>
    <t>Represents a mechanic used by the GM to Introduce facts into the game.</t>
  </si>
  <si>
    <t>Villain Point</t>
  </si>
  <si>
    <t>The simplified name for this game.</t>
  </si>
  <si>
    <t>Untold</t>
  </si>
  <si>
    <t>The term for an effect of a Trait forcing the Character to reroll one or more Ayes, or with 2 a Boon.</t>
  </si>
  <si>
    <t>Check</t>
  </si>
  <si>
    <t>Abbreviation of Tier Rating, or Tier.</t>
  </si>
  <si>
    <t>Abbreviation of Target Number</t>
  </si>
  <si>
    <t>Refers to the number of Ayes you can statistically expect from a certain SR.</t>
  </si>
  <si>
    <t>The Primary Exertion for the Mind Aspect</t>
  </si>
  <si>
    <t>A Trait related directly to a skill which alters the way that skill may be performed.</t>
  </si>
  <si>
    <t>Character</t>
  </si>
  <si>
    <t>Technique</t>
  </si>
  <si>
    <t>The name of DL 3, referring to a Skill Check requiring 3 Ayes for Success</t>
  </si>
  <si>
    <t>Difficulty</t>
  </si>
  <si>
    <t>Taxing</t>
  </si>
  <si>
    <t>Determined by the results of Tallying the Dice Pool, if the total number of Ayes is greater than or equal to the DL.</t>
  </si>
  <si>
    <t>Success</t>
  </si>
  <si>
    <t>Represents the facet of Exertion which is spent by the Character</t>
  </si>
  <si>
    <t>Abbreviation of Skill Rank</t>
  </si>
  <si>
    <t>The term for an effect of a Trait which alters the Exertion Ratio.</t>
  </si>
  <si>
    <t>Spoil</t>
  </si>
  <si>
    <t>Represents the facet of Devotion which is attacked by opponents.</t>
  </si>
  <si>
    <t>A Skill which can be purchased and provides specific methods of completion of Tasks.</t>
  </si>
  <si>
    <t>Specific Skill</t>
  </si>
  <si>
    <t>A Specialization of a Specific Skill.</t>
  </si>
  <si>
    <t>Specialized Skill</t>
  </si>
  <si>
    <t>When the Facing of a d12 shows the number 1.</t>
  </si>
  <si>
    <t>Snag</t>
  </si>
  <si>
    <t>Characters utilize their proficiency in Skills to do tasks.</t>
  </si>
  <si>
    <t>The name of DL 9, referring to a Skill Check requiring 9 Ayes for Success</t>
  </si>
  <si>
    <t>Severe</t>
  </si>
  <si>
    <t>The Tertiary Exertion for the Mind Aspect.</t>
  </si>
  <si>
    <t>The Secondary Exertion, which uses the Body or Mind Aspect whichever is higher.</t>
  </si>
  <si>
    <t>The amount of proficiency the Character has in a certain Skill is called their Rank in that Skill, or SR.</t>
  </si>
  <si>
    <t>The people playing the Game using Characters, this also includes the GM.</t>
  </si>
  <si>
    <t>Player</t>
  </si>
  <si>
    <t>The term for a task that does not require a check to complete.  May still be rolled to generate Ayes, with the risk of generating Boons/Snags as well.</t>
  </si>
  <si>
    <t>Negligible</t>
  </si>
  <si>
    <t>When the Facing of a d12 shows a number less than the TN</t>
  </si>
  <si>
    <t>Nay</t>
  </si>
  <si>
    <t>All characters are bound by a Moral Code, the game assumes a basic one, but each Setting and game can modify this.</t>
  </si>
  <si>
    <t>Trait</t>
  </si>
  <si>
    <t>The Aspect of Skills require a majority of mental effort to succeed, or where mind and heart are primary factors to perform a task.</t>
  </si>
  <si>
    <t>The term for an effect of a Trait which lowers the Target Number needed for an Aye.</t>
  </si>
  <si>
    <t>Magnify</t>
  </si>
  <si>
    <t>The name of DL 12, referring to a Skill Check requiring 12 Ayes for Success</t>
  </si>
  <si>
    <t>Impossible</t>
  </si>
  <si>
    <t>Abbreviation for Hero Points</t>
  </si>
  <si>
    <t>HP</t>
  </si>
  <si>
    <t>The term for an effect of a Trait that raises the Difficulty of a task.</t>
  </si>
  <si>
    <t>Hinder</t>
  </si>
  <si>
    <t>Represents a mechanic used to Introduce facts into the game for Heroes.</t>
  </si>
  <si>
    <t>Hero Points</t>
  </si>
  <si>
    <t>Abbreviation for the Game Master</t>
  </si>
  <si>
    <t>GM</t>
  </si>
  <si>
    <t>Refers to any item which affects the way a Skill works, or if the skill is possible.  There are three types of Gear, Implied, Basic, and Enhanced</t>
  </si>
  <si>
    <t>Gear</t>
  </si>
  <si>
    <t>The Term for the Player who acts as Adjudicator and controls the NPCs and the environment.</t>
  </si>
  <si>
    <t>Game Master</t>
  </si>
  <si>
    <t>The name of DL 7, referring to a Skill Check requiring 7 Ayes for Success</t>
  </si>
  <si>
    <t>Formidable</t>
  </si>
  <si>
    <t>The term is used when any Exertion is depleted.</t>
  </si>
  <si>
    <t>Fatigue</t>
  </si>
  <si>
    <t>When rolled the side of the Die which is on top, or the number rolled.</t>
  </si>
  <si>
    <t>The name of DL 10, referring to a Skill Check requiring 10 Ayes for Success</t>
  </si>
  <si>
    <t>Extreme</t>
  </si>
  <si>
    <t>The term used for adding dice to the pool</t>
  </si>
  <si>
    <t>The Primary Exertion for the Body Aspect</t>
  </si>
  <si>
    <t>The collection of Traits for a character which directly affect the way you Tally a Check</t>
  </si>
  <si>
    <t>Edge</t>
  </si>
  <si>
    <t>The name of DL 1, referring to a Skill Check requiring 1 Ayes for Success</t>
  </si>
  <si>
    <t>Easy</t>
  </si>
  <si>
    <t>Abbreviation of Difficulty (Difficulty Level)</t>
  </si>
  <si>
    <t>DL</t>
  </si>
  <si>
    <t>Represents the number of Ayes required for success.</t>
  </si>
  <si>
    <t>The number of d12 rolled for a single check, begins as the SR, and can increase or decrease due to Exertion or Fatigue.</t>
  </si>
  <si>
    <t>Dice Pool</t>
  </si>
  <si>
    <t>Refers to pool of Exertion that can be used to influence Checks</t>
  </si>
  <si>
    <t>The name of DL 4, referring to a Skill Check requiring 4 Ayes for Success</t>
  </si>
  <si>
    <t>Demanding</t>
  </si>
  <si>
    <t>The term for an effect of a Trait which raises the Target Number needed for an Aye.</t>
  </si>
  <si>
    <t>Debilitate</t>
  </si>
  <si>
    <t>The name of DL 6, referring to a Skill Check requiring 6 Ayes for Success</t>
  </si>
  <si>
    <t>Daunting</t>
  </si>
  <si>
    <t>The size of the Dice used by the Untold RPG to determine the results of a Check</t>
  </si>
  <si>
    <t>D12</t>
  </si>
  <si>
    <t>Refers to a Check which has either Succeeded or Failed by 3 Ayes. A Critical Success for DL 2 requires 5 Ayes, and a Critical Failure for a DL 5 received only 2 Ayes.</t>
  </si>
  <si>
    <t>Critical</t>
  </si>
  <si>
    <t>When you need to determine if you succeed or fail at a Task, you will perform a Check using a Skill</t>
  </si>
  <si>
    <t>A single entity falls into one of two categories, Player and Non-Player.</t>
  </si>
  <si>
    <t>Characters</t>
  </si>
  <si>
    <t>Positive and Negative traits that define the Character</t>
  </si>
  <si>
    <t>Characteristics</t>
  </si>
  <si>
    <t>The characters' driving motivation is something they are Devoted to, allowing them to gain Devotion.</t>
  </si>
  <si>
    <t>Motivation</t>
  </si>
  <si>
    <t>Cause</t>
  </si>
  <si>
    <t>A Category or Collection of Skills which share methods or do related tasks.</t>
  </si>
  <si>
    <t>Broad Skill</t>
  </si>
  <si>
    <t>The term for an effect of a Trait that lowers the Difficulty of a task.</t>
  </si>
  <si>
    <t>When the Facing of a d12 shows the number 12.</t>
  </si>
  <si>
    <t>Boon</t>
  </si>
  <si>
    <t>The term for an effect of a Trait allowing the Character to reroll one or more Nays, or with 2 a Snag.</t>
  </si>
  <si>
    <t>The Aspect of Skills requires a majority of physical effort to succeed, or where physicality is primary in performing the task.</t>
  </si>
  <si>
    <t>The name of DL 5, referring to a Skill Check requiring 5 Ayes for Success</t>
  </si>
  <si>
    <t>Baffling</t>
  </si>
  <si>
    <t>When the Facing of a d12 shows a number greater to or equal to the TN</t>
  </si>
  <si>
    <t>Aye</t>
  </si>
  <si>
    <t>The name of DL 2, referring to a Skill Check requiring 2 Ayes for Success</t>
  </si>
  <si>
    <t>Average</t>
  </si>
  <si>
    <t>The name of DL 8, referring to a Skill Check requiring 8 Ayes for Success</t>
  </si>
  <si>
    <t>Arduous</t>
  </si>
  <si>
    <t>The name of DL 11, referring to a Skill Check requiring 11 Ayes for Success</t>
  </si>
  <si>
    <t>Absurd</t>
  </si>
  <si>
    <t>Definition</t>
  </si>
  <si>
    <t>Location</t>
  </si>
  <si>
    <t>Term</t>
  </si>
  <si>
    <t>x3</t>
  </si>
  <si>
    <t>x2</t>
  </si>
  <si>
    <t>x1</t>
  </si>
  <si>
    <t>Those you could play catch with or speak with if you raised your voice.</t>
  </si>
  <si>
    <t>The entire world is contained within a Magnetic Field.</t>
  </si>
  <si>
    <t>Those you could speak with without shouting in a restaurant.</t>
  </si>
  <si>
    <t>With Speaker and Microphone, they could hear you</t>
  </si>
  <si>
    <t>the complete cycle of a celestial body</t>
  </si>
  <si>
    <t>Characteristic</t>
  </si>
  <si>
    <t>Acute Senses</t>
  </si>
  <si>
    <t>Affluent</t>
  </si>
  <si>
    <t>Agile</t>
  </si>
  <si>
    <t>Ally</t>
  </si>
  <si>
    <t>Ambidextrous</t>
  </si>
  <si>
    <t>Artisan</t>
  </si>
  <si>
    <t>Benefactor</t>
  </si>
  <si>
    <t>Companion</t>
  </si>
  <si>
    <t>Connection</t>
  </si>
  <si>
    <t>Courageous</t>
  </si>
  <si>
    <t>Dead Eye</t>
  </si>
  <si>
    <t>Determined</t>
  </si>
  <si>
    <t>Hardy</t>
  </si>
  <si>
    <t>Resistance</t>
  </si>
  <si>
    <t>Inquisitive</t>
  </si>
  <si>
    <t>Intelligent</t>
  </si>
  <si>
    <t>Linguist</t>
  </si>
  <si>
    <t>Lithe</t>
  </si>
  <si>
    <t>Lucky</t>
  </si>
  <si>
    <t>Mighty</t>
  </si>
  <si>
    <t>Property</t>
  </si>
  <si>
    <t>Rapid Healer</t>
  </si>
  <si>
    <t>Resilient</t>
  </si>
  <si>
    <t>Resourceful</t>
  </si>
  <si>
    <t>Sincere</t>
  </si>
  <si>
    <t>Spatial Awareness</t>
  </si>
  <si>
    <t>Stable</t>
  </si>
  <si>
    <t>Versatile</t>
  </si>
  <si>
    <t>Virtuoso</t>
  </si>
  <si>
    <t>Virtuous</t>
  </si>
  <si>
    <t>Addiction</t>
  </si>
  <si>
    <t>Allergy</t>
  </si>
  <si>
    <t>Clumsy</t>
  </si>
  <si>
    <t>Contemptible</t>
  </si>
  <si>
    <t>Craven</t>
  </si>
  <si>
    <t>Deep Sleeper</t>
  </si>
  <si>
    <t>Delusional</t>
  </si>
  <si>
    <t>Despised</t>
  </si>
  <si>
    <t>Destitute</t>
  </si>
  <si>
    <t>Distinguishable</t>
  </si>
  <si>
    <t>Frail</t>
  </si>
  <si>
    <t>Impaired Senses</t>
  </si>
  <si>
    <t>Lowborn</t>
  </si>
  <si>
    <t>Monoglot</t>
  </si>
  <si>
    <t>Obligation</t>
  </si>
  <si>
    <t>Oblivious</t>
  </si>
  <si>
    <t>Obsession</t>
  </si>
  <si>
    <t>Performance Anxiety</t>
  </si>
  <si>
    <t>Phobia</t>
  </si>
  <si>
    <t>Poor Shot</t>
  </si>
  <si>
    <t>Prejudiced</t>
  </si>
  <si>
    <t>Settled</t>
  </si>
  <si>
    <t>Short Winded</t>
  </si>
  <si>
    <t>Sickly</t>
  </si>
  <si>
    <t>Simple</t>
  </si>
  <si>
    <t>Slow Healer</t>
  </si>
  <si>
    <t>Sluggish</t>
  </si>
  <si>
    <t>Timid</t>
  </si>
  <si>
    <t>Trauma Syndrome</t>
  </si>
  <si>
    <t>Unfortunate Trait</t>
  </si>
  <si>
    <t>Unstable</t>
  </si>
  <si>
    <t>Vulnerability</t>
  </si>
  <si>
    <t>Wanted</t>
  </si>
  <si>
    <t>Weak</t>
  </si>
  <si>
    <t>Description</t>
  </si>
  <si>
    <t>Each Rating of Affluent increases the availability of Gear when purchased through Credits.</t>
  </si>
  <si>
    <t>Grants Magnify (1) to Coordination and Combat: Finnesse tasks</t>
  </si>
  <si>
    <t>27</t>
  </si>
  <si>
    <t>54</t>
  </si>
  <si>
    <t>varies</t>
  </si>
  <si>
    <t>Friend/Family whom can be trusted and called on for assistance</t>
  </si>
  <si>
    <t>Impair</t>
  </si>
  <si>
    <t>Empath</t>
  </si>
  <si>
    <t>Magnify (1) for Influence and Handling tasks</t>
  </si>
  <si>
    <t>Magnify (1) for Craft tasks</t>
  </si>
  <si>
    <t>See Ally</t>
  </si>
  <si>
    <t>27:1</t>
  </si>
  <si>
    <t>Boost for all tasks utilizing heavily the Sense(s) that are Acute.</t>
  </si>
  <si>
    <t>Boost for tasks with Gear in two hands.  Normally this Impairs (2).</t>
  </si>
  <si>
    <t>Grants a companion, which allows Bolster (1) or Hinder (1) of 1 task per round to Self, Ally, or Opponent.</t>
  </si>
  <si>
    <t>Friend/Family who the character can call on for information, or Gear.</t>
  </si>
  <si>
    <t>9:1</t>
  </si>
  <si>
    <t>Grants Magnify (1) to all Combat:Firearms, Combat:Missile, and Combat:Thrown tasks</t>
  </si>
  <si>
    <t>6:1</t>
  </si>
  <si>
    <t>Increase the Mind Aspect DR by 1 per Rating</t>
  </si>
  <si>
    <t>Increase Tenacity (Mind Primary Store) by 1 per Rating</t>
  </si>
  <si>
    <t>Increase Vitality (Body Tertiary Store) by 1 per Rating</t>
  </si>
  <si>
    <t>12:1</t>
  </si>
  <si>
    <t>Grants an Armor Rating equal to Rating for one Type of Attack</t>
  </si>
  <si>
    <t>Durable</t>
  </si>
  <si>
    <t>Increase Endurance (Body Primary Store) by 1 per Rating</t>
  </si>
  <si>
    <t>Grants Magnify (1) for all Knowledge tasks</t>
  </si>
  <si>
    <t>Grants Magnify (1) for all Cognition tasks</t>
  </si>
  <si>
    <t>Grants Magnify (1) for all Language tasks</t>
  </si>
  <si>
    <t>Increase Body Aspect DR by 1 per Rating</t>
  </si>
  <si>
    <t>Boost that can be used once per Scene.  The Rating increases the Boost rating, but can be spent individually or all on one task.</t>
  </si>
  <si>
    <t>Grants Magnify (1) to Athletics and Combat: Brutal tasks</t>
  </si>
  <si>
    <t>Each Rating of Privileged increases the Social Rating of the Character.</t>
  </si>
  <si>
    <t>Privileged</t>
  </si>
  <si>
    <t>The Character owns land, or a building, or even just an apartment.  The Rating relates to the Affluence required to purchase the property.</t>
  </si>
  <si>
    <t>15:1</t>
  </si>
  <si>
    <t>Each Rating is applied to all forms of Healing for all Aspects, Stores, and Facet.</t>
  </si>
  <si>
    <t>Reactive/Decisive</t>
  </si>
  <si>
    <t>Increase Resilience (Secondary Store) by 1 per Rating</t>
  </si>
  <si>
    <t>18:1</t>
  </si>
  <si>
    <t>Increase DR by 1 per Rating, but only for AO Defenses</t>
  </si>
  <si>
    <t>Increase all Initiative values by Rating, does not stack with Decisive. (see Decisive)</t>
  </si>
  <si>
    <t>Increase all Initiative values by Rating, does not stack with Decisive. (see Reactive)</t>
  </si>
  <si>
    <t>Magnify (1) for Influence tasks.  Does not stack with Empath</t>
  </si>
  <si>
    <t>Magnify (1) for Piloting and Combat: Close tasks</t>
  </si>
  <si>
    <t>Increase Sanity (Mind Tertiary Store) by 1 per Rating</t>
  </si>
  <si>
    <t>54:1</t>
  </si>
  <si>
    <t>When building the Dice pool for any Skill with a Rank of 3 or less, add 1 additional die.</t>
  </si>
  <si>
    <t>Magnify (1) for Performance tasks.</t>
  </si>
  <si>
    <t>Increase the Devotion Exchange Ratio.</t>
  </si>
  <si>
    <t>Without this substance, the character undergoes some adverse effects.  Value is based on time without, the difficulty of acquiring, and effects</t>
  </si>
  <si>
    <t>When in contact with this substance, adverse effects occur.  Similar to Addiction, but inverse.</t>
  </si>
  <si>
    <t>Apathetic</t>
  </si>
  <si>
    <t>-54</t>
  </si>
  <si>
    <t>Imposes Debilitate (1) for all Influence and Handling tasks</t>
  </si>
  <si>
    <t>Callous</t>
  </si>
  <si>
    <t>Decisive/Reactive</t>
  </si>
  <si>
    <t>-12:1</t>
  </si>
  <si>
    <t>Decreases the Devotion Exchange Ratio.</t>
  </si>
  <si>
    <t>Imposes Debilitate (1) for Coordination and Combat:Finesse tasks</t>
  </si>
  <si>
    <t>-27</t>
  </si>
  <si>
    <t>Imposes Debilitate (1) for all Influence tasks.</t>
  </si>
  <si>
    <t>-9:1</t>
  </si>
  <si>
    <t>Decrease the Mind Aspect DR by 1 per Rating.</t>
  </si>
  <si>
    <t>Impair any attempt to wake up, or wake the character for each Rating.</t>
  </si>
  <si>
    <t>-6:1</t>
  </si>
  <si>
    <t>The character holds as fact a dangerous belief, and this results in imposed Hinder per Rating per Session.</t>
  </si>
  <si>
    <t>The character is hated or discriminated against by a significant population.</t>
  </si>
  <si>
    <t>Decrease the availability of Gear when purchased through Credits by Rating.</t>
  </si>
  <si>
    <t>-3</t>
  </si>
  <si>
    <t>For each Distinguishing feature that the character has.</t>
  </si>
  <si>
    <t>Distracted/Reckless</t>
  </si>
  <si>
    <t>Imposes Debilitate (1) for all Piloting and Combat:Close tasks</t>
  </si>
  <si>
    <t>Reduce Resilience (Secondary Store) by 1 per Rating</t>
  </si>
  <si>
    <t>-27:1</t>
  </si>
  <si>
    <t>For each Rating, impose Impair on affected sense.</t>
  </si>
  <si>
    <t>Obtuse</t>
  </si>
  <si>
    <t>Impose Debilitate (1) for all Knowledge tasks</t>
  </si>
  <si>
    <t>Reduce the starting Social Rating by Rating</t>
  </si>
  <si>
    <t>Impose Debilitate (1) for all Language tasks</t>
  </si>
  <si>
    <t>The character has committed and is devoted to caring for someone or something</t>
  </si>
  <si>
    <t>Impose Debilitate (1) for all Infiltration tasks</t>
  </si>
  <si>
    <t>The character is obsessed with some topic, possession, or task.  The Value of the characteristic is how disruptive it is.</t>
  </si>
  <si>
    <t>Impose Debilitate (1) for all Performance tasks</t>
  </si>
  <si>
    <t>The Character is cripplingly afraid of something, the value of which is determined by how crippling, and how often.</t>
  </si>
  <si>
    <t>Impairement</t>
  </si>
  <si>
    <t>The character is missing one or more limbs, which impose Spoil on any task where that limb is required.</t>
  </si>
  <si>
    <t>Impose Debilitate on all ranged combat tasks, Combat:Firearms, Combat:Missile, Combat:Thrown.</t>
  </si>
  <si>
    <t>The character despises a subset of the population, leading to fights, lost opportunities, etc.</t>
  </si>
  <si>
    <t>Impose Debilitate (1) for all Survival tasks</t>
  </si>
  <si>
    <t>Reduce Endurance (Body Aspect Primary Store) by Rating</t>
  </si>
  <si>
    <t>Reduce Vitality (Body Aspect Tertiary Store) by Rating</t>
  </si>
  <si>
    <t>Impose Debilitate (1) on all Cognition tasks</t>
  </si>
  <si>
    <t>-15:1</t>
  </si>
  <si>
    <t>Each rating is removed from all forms of healing for all Aspects, Stores, and Facets.</t>
  </si>
  <si>
    <t>Decrease Initiative values by Rating.</t>
  </si>
  <si>
    <t>For each Rating, reduce Tenacity (Mind Primary Store)</t>
  </si>
  <si>
    <t>Whenever the character is in a potentially traumatic situation, impose the selected negative effects</t>
  </si>
  <si>
    <t>Each Rating is a separate feature and although no negative affect is necessary, it should create unfortunate Roleplay situations</t>
  </si>
  <si>
    <t>Reduce Sanity (Mind Tertiary Store) for each Rating</t>
  </si>
  <si>
    <t>Increase the damage sustained by any attack of the Type selected by Rating.</t>
  </si>
  <si>
    <t>There is an organization, or powerful person who wants custody of the character.  Value is based on the resources, damage, frequency, etc.</t>
  </si>
  <si>
    <t>Impose Debilitate (1) for all Athletics and Combat:Brutal tasks</t>
  </si>
  <si>
    <t>Untrained</t>
  </si>
  <si>
    <t>Broad</t>
  </si>
  <si>
    <t>Specific</t>
  </si>
  <si>
    <t>Computation</t>
  </si>
  <si>
    <t>Debate</t>
  </si>
  <si>
    <t>Deduction</t>
  </si>
  <si>
    <t>Meditation</t>
  </si>
  <si>
    <t>Recall</t>
  </si>
  <si>
    <t>Tailor</t>
  </si>
  <si>
    <t>Art</t>
  </si>
  <si>
    <t>Smith</t>
  </si>
  <si>
    <t>Animal Training</t>
  </si>
  <si>
    <t>Riding</t>
  </si>
  <si>
    <t>Concealment</t>
  </si>
  <si>
    <t>Disquise</t>
  </si>
  <si>
    <t>Observe</t>
  </si>
  <si>
    <t>Security</t>
  </si>
  <si>
    <t>Stealth</t>
  </si>
  <si>
    <t>Tracking</t>
  </si>
  <si>
    <t>Coercion</t>
  </si>
  <si>
    <t>Deception</t>
  </si>
  <si>
    <t>Haggling</t>
  </si>
  <si>
    <t>Leadership</t>
  </si>
  <si>
    <t>Persuasion</t>
  </si>
  <si>
    <t>Author</t>
  </si>
  <si>
    <t>Programmer</t>
  </si>
  <si>
    <t>Speaking</t>
  </si>
  <si>
    <t>Physics</t>
  </si>
  <si>
    <t>Electrics</t>
  </si>
  <si>
    <t>Chemistry</t>
  </si>
  <si>
    <t>Alchemy</t>
  </si>
  <si>
    <t>History</t>
  </si>
  <si>
    <t>Aether</t>
  </si>
  <si>
    <t>Society</t>
  </si>
  <si>
    <t>Psychology</t>
  </si>
  <si>
    <t>Occult</t>
  </si>
  <si>
    <t>Metaphysics</t>
  </si>
  <si>
    <t>Basic</t>
  </si>
  <si>
    <t>Acting</t>
  </si>
  <si>
    <t>Dance</t>
  </si>
  <si>
    <t>Instrument</t>
  </si>
  <si>
    <t>Voice</t>
  </si>
  <si>
    <t>Mag Vehicles</t>
  </si>
  <si>
    <t>Car</t>
  </si>
  <si>
    <t>Truck</t>
  </si>
  <si>
    <t>Panel</t>
  </si>
  <si>
    <t>Rig</t>
  </si>
  <si>
    <t>Sailing</t>
  </si>
  <si>
    <t>Forest</t>
  </si>
  <si>
    <t>Plains</t>
  </si>
  <si>
    <t>Desert</t>
  </si>
  <si>
    <t>Jungle</t>
  </si>
  <si>
    <t>Volcanic</t>
  </si>
  <si>
    <t>Tundra</t>
  </si>
  <si>
    <t>Frozen</t>
  </si>
  <si>
    <t>Ocean</t>
  </si>
  <si>
    <t>Terrainian</t>
  </si>
  <si>
    <t>Bodybuilding</t>
  </si>
  <si>
    <t>Climbing</t>
  </si>
  <si>
    <t>Jumping</t>
  </si>
  <si>
    <t>Running</t>
  </si>
  <si>
    <t>Swimming</t>
  </si>
  <si>
    <t>Throwing</t>
  </si>
  <si>
    <t>Acrobatics</t>
  </si>
  <si>
    <t>Catching</t>
  </si>
  <si>
    <t>Fine Motor Manipulation</t>
  </si>
  <si>
    <t>Pickpocketing</t>
  </si>
  <si>
    <t>Sleight of Hand</t>
  </si>
  <si>
    <t>Combat:Brutal</t>
  </si>
  <si>
    <t>Bashing</t>
  </si>
  <si>
    <t>Reach</t>
  </si>
  <si>
    <t>Slashing</t>
  </si>
  <si>
    <t>Combat:Finesse</t>
  </si>
  <si>
    <t>Eclectic</t>
  </si>
  <si>
    <t>Blades</t>
  </si>
  <si>
    <t>Staves</t>
  </si>
  <si>
    <t>Boxing</t>
  </si>
  <si>
    <t>Combat:Close</t>
  </si>
  <si>
    <t>Grappling</t>
  </si>
  <si>
    <t>Martial</t>
  </si>
  <si>
    <t>Fencing</t>
  </si>
  <si>
    <t>Understanding of Calculations, Equations, and Arithmatic</t>
  </si>
  <si>
    <t>The rules of debate, including Logic and Fallacies</t>
  </si>
  <si>
    <t>Obtaining the  General facts from specific clues</t>
  </si>
  <si>
    <t>Quieting the mind and body to provide benefits</t>
  </si>
  <si>
    <t>Having the understanding to bring a memory to the conscious</t>
  </si>
  <si>
    <t>Weapons with long hafts, such as spears, halberds, etc.</t>
  </si>
  <si>
    <t>Weapons with a blunt force and usually a haft, including clubs, hammers</t>
  </si>
  <si>
    <t xml:space="preserve">Weapons that lack leverage, daggers, shortsword, hatchets </t>
  </si>
  <si>
    <t>Utilizing quick footwork and fists</t>
  </si>
  <si>
    <t>Utilizing grabs, holds, where submission is more important than hurting</t>
  </si>
  <si>
    <t>Utilizing the entire body as a weapon</t>
  </si>
  <si>
    <t>Weapons that use momentum, chains, cables, whips</t>
  </si>
  <si>
    <t>Weapons designed to duel, defend, and perform quick, precise hits</t>
  </si>
  <si>
    <t>Weapons where the haft is the weapon, Staff, Bo, Rod, very quick weapons</t>
  </si>
  <si>
    <t>Utilizing tumbling, swinging, jumping, twirling movements</t>
  </si>
  <si>
    <t>Training in building the Body's aesthetic appeal, lifting, bending, crushing</t>
  </si>
  <si>
    <t>Anticipating and moving to intercept something in motion.</t>
  </si>
  <si>
    <t>Propelling oneself up a vertical plane with or without gear</t>
  </si>
  <si>
    <t>Propelling oneself over or across some barrier</t>
  </si>
  <si>
    <t>Training in sprinting or long distance running</t>
  </si>
  <si>
    <t>Training in moving through, or treading in liquid.</t>
  </si>
  <si>
    <t>Propelling some object in a controlled manner with some expectation of where it will land or stop.</t>
  </si>
  <si>
    <t>Utilizing Intricate, delicate movements to manipulate something</t>
  </si>
  <si>
    <t>Training in lifting, placing, replacing, objects from a target without their knowledge.</t>
  </si>
  <si>
    <t>Training in distraction, hiding, and revealing objects while being watched without knowledge of how.</t>
  </si>
  <si>
    <t>Creating Aesthetically pleasing sculptures, paintings, etc.</t>
  </si>
  <si>
    <t>Creating written manuscripts, poetry, speeches, and even scripts</t>
  </si>
  <si>
    <t>Creating instructions that can be followed by something without intelligence, but with pure logic</t>
  </si>
  <si>
    <t>Creating objects out of metal</t>
  </si>
  <si>
    <t>Creating objects out of fabric</t>
  </si>
  <si>
    <t>Husbandry</t>
  </si>
  <si>
    <t>Caring, breeding, and raising animals</t>
  </si>
  <si>
    <t>Teaching animals tricks, behaviors, and skills.</t>
  </si>
  <si>
    <t>Transporting oneself by the conveyance offered by animals</t>
  </si>
  <si>
    <t>Understanding of how to conceal things from observation, hiding them, and also using to find things</t>
  </si>
  <si>
    <t>Transforming someone to appear as someone else, either real or imagined.</t>
  </si>
  <si>
    <t>Watching, scouting, preventing someone from moving around you without your notice.</t>
  </si>
  <si>
    <t>Creating security systems, and also bypassing security.  This includes locks, and picking locks.</t>
  </si>
  <si>
    <t>Moving around without anyone noticing you.  Paying attention to surroundings, patience for guards</t>
  </si>
  <si>
    <t>Noticing the ways in which movement affects the environment and gaining insight about the tracks</t>
  </si>
  <si>
    <t>Forcing someone to do something against their will through torture, intimidation, even blackmail.</t>
  </si>
  <si>
    <t>Spinning convincing stories based on untruth.</t>
  </si>
  <si>
    <t>Finding the Win-Win scenario at the best value for both parties.</t>
  </si>
  <si>
    <t>Motivating and directing others in optimal fashion.</t>
  </si>
  <si>
    <t>Convincing someone to do what you want even though they may be resistant initially.</t>
  </si>
  <si>
    <t>Public speaking is intended to draw attention to something, possibly convincing a crowd.</t>
  </si>
  <si>
    <t>Understanding of the intricate workings of this oft-misunderstood fabric of reality.</t>
  </si>
  <si>
    <t>Ability to provide solutions by transmuting materials.</t>
  </si>
  <si>
    <t>Understanding the science of chemicals to formulate solutions.</t>
  </si>
  <si>
    <t>Understanding the science of electricity, magnetism, and how these forces work in the universe.</t>
  </si>
  <si>
    <t>Knowing the past through the filter of text.</t>
  </si>
  <si>
    <t>The field of inquiry of the immaterial after grounding in the material.</t>
  </si>
  <si>
    <t>Knowing about cults, rituals they use, and how to escape or trap others with the tricks of cults.</t>
  </si>
  <si>
    <t>Knowledge about the physical reactions of the world around you.</t>
  </si>
  <si>
    <t>Knowing the mind, emotions, and how to aid people in moving forward.</t>
  </si>
  <si>
    <t>Knowing the ways society interacts within their systems.</t>
  </si>
  <si>
    <t>Language of the majority</t>
  </si>
  <si>
    <t>Portraying a subject, leading others to see them in yourself.</t>
  </si>
  <si>
    <t>Movement of the body to entertain and enlighten.</t>
  </si>
  <si>
    <t>Strings, wind, tension, or percussion to create sound, perhaps even music.</t>
  </si>
  <si>
    <t>Singing, Oration, to entertain or convey meaning and emotion</t>
  </si>
  <si>
    <t>Vehicles which are simple to control, usually maneuverable in tight spaces.</t>
  </si>
  <si>
    <t>Vehicles using electronics to control the way the vehicle reacts to magnetic fields including gravity.</t>
  </si>
  <si>
    <t>Trucks with panel walls enclosing cargo, large and difficult to maneuver</t>
  </si>
  <si>
    <t>A cab built atop a large engine with wheels and a rig to attach vessels able to contain cargo</t>
  </si>
  <si>
    <t>A vehicle that only moves over water, usually using wind to facilitate movement, but not required.</t>
  </si>
  <si>
    <t>A vehicle with a small cab, and an open cargo area, deceptively difficult to maneuver and control.</t>
  </si>
  <si>
    <t>Surviving in a desert including dunes, or any area where the water is difficult to find.</t>
  </si>
  <si>
    <t>Surviving in a dense collection of trees</t>
  </si>
  <si>
    <t>Surviving in an inhospitable cold, snow filled area</t>
  </si>
  <si>
    <t>Surviving amongst the hazards of the jungle</t>
  </si>
  <si>
    <t>Surviving on an island, or boat, where the only water is unpotable.</t>
  </si>
  <si>
    <t>Surviving on a plain of rolling hills, few trees.</t>
  </si>
  <si>
    <t>Surviving in caves, or on Mountains</t>
  </si>
  <si>
    <t>Surviving in a cold bitter steppe climate</t>
  </si>
  <si>
    <t>Surviving in a climate filled with the chemicals and hot temperatures typical of volcanoes</t>
  </si>
  <si>
    <t>Techniques</t>
  </si>
  <si>
    <t>Weapons that chop and slice.  Usually with a curved blade, axe, greatsword</t>
  </si>
  <si>
    <t>Encounter</t>
  </si>
  <si>
    <t>a single combat encounter, or spirited exchange in a debate</t>
  </si>
  <si>
    <t>a complete discussion, the time before, during, and after a battle</t>
  </si>
  <si>
    <t>ActTN</t>
  </si>
  <si>
    <t>the revolution of the planet around a sun</t>
  </si>
  <si>
    <t>Ten revolutions</t>
  </si>
  <si>
    <t>Traits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</si>
</sst>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Fira Sans"/>
      <family val="2"/>
    </font>
    <font>
      <sz val="11"/>
      <color theme="0"/>
      <name val="Fira Sans"/>
      <family val="2"/>
    </font>
    <font>
      <sz val="9"/>
      <color theme="1"/>
      <name val="Fira Sans"/>
      <family val="2"/>
    </font>
    <font>
      <sz val="36"/>
      <color theme="9" tint="-0.499984740745262"/>
      <name val="Calibri"/>
      <family val="2"/>
    </font>
    <font>
      <sz val="36"/>
      <color theme="9" tint="-0.499984740745262"/>
      <name val="Fira Sans"/>
      <family val="2"/>
    </font>
    <font>
      <sz val="36"/>
      <color theme="9" tint="0.39997558519241921"/>
      <name val="Calibri"/>
      <family val="2"/>
    </font>
    <font>
      <sz val="36"/>
      <color theme="9" tint="0.39997558519241921"/>
      <name val="Fira Sans"/>
      <family val="2"/>
    </font>
    <font>
      <sz val="9"/>
      <color theme="0"/>
      <name val="Fira Sans"/>
      <family val="2"/>
    </font>
    <font>
      <sz val="10"/>
      <color theme="0"/>
      <name val="Fira Sans"/>
      <family val="2"/>
    </font>
    <font>
      <sz val="6"/>
      <color theme="0"/>
      <name val="Fira Sans"/>
      <family val="2"/>
    </font>
    <font>
      <sz val="11"/>
      <name val="Fira Sans"/>
      <family val="2"/>
    </font>
    <font>
      <sz val="7"/>
      <color theme="1"/>
      <name val="Fira Sans"/>
      <family val="2"/>
    </font>
    <font>
      <b/>
      <sz val="16"/>
      <name val="Fira Sans"/>
      <family val="2"/>
    </font>
    <font>
      <sz val="11"/>
      <color rgb="FFFF0000"/>
      <name val="Fira Sans"/>
      <family val="2"/>
    </font>
    <font>
      <sz val="11"/>
      <color rgb="FF00B050"/>
      <name val="Fira Sans"/>
      <family val="2"/>
    </font>
    <font>
      <sz val="11"/>
      <color rgb="FFFFC000"/>
      <name val="Fira Sans"/>
      <family val="2"/>
    </font>
    <font>
      <sz val="11"/>
      <color rgb="FFC00000"/>
      <name val="Fira Sans"/>
      <family val="2"/>
    </font>
    <font>
      <sz val="11"/>
      <color rgb="FF00B0F0"/>
      <name val="Fira Sans"/>
      <family val="2"/>
    </font>
    <font>
      <sz val="11"/>
      <color rgb="FF0070C0"/>
      <name val="Fira Sans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0"/>
      </right>
      <top/>
      <bottom style="thin">
        <color theme="9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9" tint="-0.499984740745262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9" tint="0.59999389629810485"/>
      </bottom>
      <diagonal/>
    </border>
    <border>
      <left style="thin">
        <color theme="0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5" tint="-0.499984740745262"/>
      </left>
      <right/>
      <top style="thin">
        <color theme="5" tint="-0.499984740745262"/>
      </top>
      <bottom/>
      <diagonal/>
    </border>
    <border>
      <left/>
      <right/>
      <top style="thin">
        <color theme="5" tint="-0.499984740745262"/>
      </top>
      <bottom/>
      <diagonal/>
    </border>
    <border>
      <left/>
      <right style="thin">
        <color theme="5" tint="-0.499984740745262"/>
      </right>
      <top style="thin">
        <color theme="5" tint="-0.499984740745262"/>
      </top>
      <bottom/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/>
      <top/>
      <bottom style="thin">
        <color theme="5" tint="-0.499984740745262"/>
      </bottom>
      <diagonal/>
    </border>
    <border>
      <left/>
      <right style="thin">
        <color theme="5" tint="-0.499984740745262"/>
      </right>
      <top/>
      <bottom style="thin">
        <color theme="5" tint="-0.499984740745262"/>
      </bottom>
      <diagonal/>
    </border>
    <border>
      <left/>
      <right style="thin">
        <color theme="0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/>
      <bottom/>
      <diagonal/>
    </border>
    <border>
      <left style="thin">
        <color theme="4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/>
      <right style="thin">
        <color indexed="64"/>
      </right>
      <top/>
      <bottom style="thin">
        <color theme="5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9" tint="0.59999389629810485"/>
      </right>
      <top/>
      <bottom/>
      <diagonal/>
    </border>
    <border>
      <left style="thin">
        <color theme="4"/>
      </left>
      <right style="thin">
        <color theme="0"/>
      </right>
      <top/>
      <bottom/>
      <diagonal/>
    </border>
    <border>
      <left style="thin">
        <color theme="0"/>
      </left>
      <right style="thin">
        <color theme="4"/>
      </right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272">
    <xf numFmtId="0" fontId="0" fillId="0" borderId="0" xfId="0"/>
    <xf numFmtId="0" fontId="0" fillId="0" borderId="0" xfId="0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4" borderId="0" xfId="0" applyFill="1" applyBorder="1" applyAlignment="1">
      <alignment horizontal="center" vertical="center"/>
    </xf>
    <xf numFmtId="0" fontId="0" fillId="0" borderId="0" xfId="0" quotePrefix="1"/>
    <xf numFmtId="10" fontId="0" fillId="0" borderId="0" xfId="0" applyNumberFormat="1"/>
    <xf numFmtId="2" fontId="0" fillId="0" borderId="0" xfId="0" applyNumberFormat="1"/>
    <xf numFmtId="2" fontId="13" fillId="0" borderId="0" xfId="0" applyNumberFormat="1" applyFont="1"/>
    <xf numFmtId="2" fontId="14" fillId="0" borderId="0" xfId="0" applyNumberFormat="1" applyFont="1"/>
    <xf numFmtId="2" fontId="15" fillId="0" borderId="0" xfId="0" applyNumberFormat="1" applyFont="1"/>
    <xf numFmtId="2" fontId="16" fillId="0" borderId="0" xfId="0" applyNumberFormat="1" applyFont="1"/>
    <xf numFmtId="2" fontId="17" fillId="0" borderId="0" xfId="0" applyNumberFormat="1" applyFont="1"/>
    <xf numFmtId="2" fontId="18" fillId="0" borderId="0" xfId="0" applyNumberFormat="1" applyFont="1"/>
    <xf numFmtId="0" fontId="0" fillId="10" borderId="0" xfId="0" applyFill="1"/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2" fontId="13" fillId="0" borderId="0" xfId="0" applyNumberFormat="1" applyFont="1" applyFill="1"/>
    <xf numFmtId="2" fontId="14" fillId="0" borderId="0" xfId="0" applyNumberFormat="1" applyFont="1" applyFill="1"/>
    <xf numFmtId="2" fontId="15" fillId="0" borderId="0" xfId="0" applyNumberFormat="1" applyFont="1" applyFill="1"/>
    <xf numFmtId="2" fontId="16" fillId="0" borderId="0" xfId="0" applyNumberFormat="1" applyFont="1" applyFill="1"/>
    <xf numFmtId="2" fontId="17" fillId="0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2" fontId="13" fillId="16" borderId="0" xfId="0" applyNumberFormat="1" applyFont="1" applyFill="1"/>
    <xf numFmtId="2" fontId="14" fillId="16" borderId="0" xfId="0" applyNumberFormat="1" applyFont="1" applyFill="1"/>
    <xf numFmtId="2" fontId="15" fillId="16" borderId="0" xfId="0" applyNumberFormat="1" applyFont="1" applyFill="1"/>
    <xf numFmtId="2" fontId="16" fillId="16" borderId="0" xfId="0" applyNumberFormat="1" applyFont="1" applyFill="1"/>
    <xf numFmtId="2" fontId="17" fillId="16" borderId="0" xfId="0" applyNumberFormat="1" applyFont="1" applyFill="1"/>
    <xf numFmtId="2" fontId="18" fillId="16" borderId="0" xfId="0" applyNumberFormat="1" applyFont="1" applyFill="1"/>
    <xf numFmtId="0" fontId="0" fillId="0" borderId="0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Protection="1">
      <protection locked="0"/>
    </xf>
    <xf numFmtId="0" fontId="0" fillId="0" borderId="0" xfId="0" applyFont="1" applyFill="1" applyAlignment="1" applyProtection="1">
      <alignment vertical="center"/>
    </xf>
    <xf numFmtId="0" fontId="0" fillId="0" borderId="0" xfId="0" applyFont="1" applyFill="1" applyAlignment="1" applyProtection="1"/>
    <xf numFmtId="0" fontId="0" fillId="0" borderId="0" xfId="0" applyFont="1" applyProtection="1"/>
    <xf numFmtId="0" fontId="0" fillId="0" borderId="0" xfId="0" applyFont="1" applyFill="1" applyProtection="1"/>
    <xf numFmtId="0" fontId="0" fillId="0" borderId="0" xfId="0" applyFont="1" applyBorder="1" applyAlignment="1" applyProtection="1"/>
    <xf numFmtId="0" fontId="1" fillId="0" borderId="0" xfId="0" applyFont="1" applyFill="1" applyAlignment="1" applyProtection="1"/>
    <xf numFmtId="0" fontId="2" fillId="0" borderId="0" xfId="0" applyFont="1" applyAlignment="1" applyProtection="1">
      <alignment vertical="center" wrapText="1"/>
    </xf>
    <xf numFmtId="0" fontId="11" fillId="0" borderId="0" xfId="0" applyFont="1" applyBorder="1" applyAlignment="1" applyProtection="1">
      <alignment vertical="center" textRotation="180"/>
    </xf>
    <xf numFmtId="0" fontId="0" fillId="0" borderId="0" xfId="0" applyFont="1" applyBorder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0" fillId="10" borderId="48" xfId="0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 applyProtection="1"/>
    <xf numFmtId="0" fontId="0" fillId="0" borderId="0" xfId="0" applyAlignment="1">
      <alignment horizontal="center" vertical="center"/>
    </xf>
    <xf numFmtId="20" fontId="0" fillId="13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0" fontId="12" fillId="0" borderId="39" xfId="0" applyFont="1" applyFill="1" applyBorder="1" applyAlignment="1" applyProtection="1">
      <alignment horizontal="center" vertical="center" wrapText="1"/>
      <protection locked="0"/>
    </xf>
    <xf numFmtId="0" fontId="8" fillId="5" borderId="0" xfId="0" applyFont="1" applyFill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7" fillId="6" borderId="4" xfId="0" applyFont="1" applyFill="1" applyBorder="1" applyAlignment="1" applyProtection="1">
      <alignment horizontal="center" vertical="top"/>
    </xf>
    <xf numFmtId="0" fontId="7" fillId="6" borderId="26" xfId="0" applyFont="1" applyFill="1" applyBorder="1" applyAlignment="1" applyProtection="1">
      <alignment horizontal="center" vertical="top"/>
    </xf>
    <xf numFmtId="0" fontId="1" fillId="5" borderId="0" xfId="0" applyFont="1" applyFill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 wrapText="1"/>
    </xf>
    <xf numFmtId="0" fontId="7" fillId="6" borderId="51" xfId="0" applyFont="1" applyFill="1" applyBorder="1" applyAlignment="1" applyProtection="1">
      <alignment horizontal="center" vertical="top"/>
    </xf>
    <xf numFmtId="0" fontId="7" fillId="6" borderId="27" xfId="0" applyFont="1" applyFill="1" applyBorder="1" applyAlignment="1" applyProtection="1">
      <alignment horizontal="center" vertical="top"/>
    </xf>
    <xf numFmtId="0" fontId="7" fillId="5" borderId="20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</xf>
    <xf numFmtId="0" fontId="7" fillId="5" borderId="22" xfId="0" applyFont="1" applyFill="1" applyBorder="1" applyAlignment="1" applyProtection="1">
      <alignment horizontal="center" vertical="top"/>
    </xf>
    <xf numFmtId="0" fontId="7" fillId="5" borderId="23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  <protection locked="0"/>
    </xf>
    <xf numFmtId="0" fontId="7" fillId="5" borderId="23" xfId="0" applyFont="1" applyFill="1" applyBorder="1" applyAlignment="1" applyProtection="1">
      <alignment horizontal="center" vertical="top"/>
      <protection locked="0"/>
    </xf>
    <xf numFmtId="0" fontId="9" fillId="5" borderId="0" xfId="0" applyFont="1" applyFill="1" applyAlignment="1" applyProtection="1">
      <alignment horizontal="center" vertical="center" textRotation="180"/>
    </xf>
    <xf numFmtId="0" fontId="9" fillId="5" borderId="0" xfId="0" applyFont="1" applyFill="1" applyBorder="1" applyAlignment="1" applyProtection="1">
      <alignment horizontal="center" vertical="center" textRotation="180"/>
    </xf>
    <xf numFmtId="0" fontId="9" fillId="5" borderId="18" xfId="0" applyFont="1" applyFill="1" applyBorder="1" applyAlignment="1" applyProtection="1">
      <alignment horizontal="center" vertical="center" textRotation="180"/>
    </xf>
    <xf numFmtId="0" fontId="1" fillId="8" borderId="0" xfId="0" applyFont="1" applyFill="1" applyAlignment="1" applyProtection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7" fillId="8" borderId="12" xfId="0" applyFont="1" applyFill="1" applyBorder="1" applyAlignment="1" applyProtection="1">
      <alignment horizontal="center" vertical="top"/>
    </xf>
    <xf numFmtId="0" fontId="7" fillId="8" borderId="0" xfId="0" applyFont="1" applyFill="1" applyBorder="1" applyAlignment="1" applyProtection="1">
      <alignment horizontal="center" vertical="top"/>
    </xf>
    <xf numFmtId="0" fontId="7" fillId="8" borderId="54" xfId="0" applyFont="1" applyFill="1" applyBorder="1" applyAlignment="1" applyProtection="1">
      <alignment horizontal="center" vertical="top"/>
    </xf>
    <xf numFmtId="0" fontId="7" fillId="8" borderId="17" xfId="0" applyFont="1" applyFill="1" applyBorder="1" applyAlignment="1" applyProtection="1">
      <alignment horizontal="center" vertical="top"/>
    </xf>
    <xf numFmtId="0" fontId="7" fillId="8" borderId="18" xfId="0" applyFont="1" applyFill="1" applyBorder="1" applyAlignment="1" applyProtection="1">
      <alignment horizontal="center" vertical="top"/>
    </xf>
    <xf numFmtId="0" fontId="7" fillId="8" borderId="34" xfId="0" applyFont="1" applyFill="1" applyBorder="1" applyAlignment="1" applyProtection="1">
      <alignment horizontal="center" vertical="top"/>
    </xf>
    <xf numFmtId="0" fontId="1" fillId="2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9" fillId="2" borderId="0" xfId="0" applyFont="1" applyFill="1" applyAlignment="1" applyProtection="1">
      <alignment horizontal="center" vertical="center" textRotation="180"/>
    </xf>
    <xf numFmtId="0" fontId="9" fillId="2" borderId="0" xfId="0" applyFont="1" applyFill="1" applyBorder="1" applyAlignment="1" applyProtection="1">
      <alignment horizontal="center" vertical="center" textRotation="180"/>
    </xf>
    <xf numFmtId="0" fontId="10" fillId="0" borderId="39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left"/>
      <protection locked="0"/>
    </xf>
    <xf numFmtId="0" fontId="0" fillId="0" borderId="29" xfId="0" applyFont="1" applyBorder="1" applyAlignment="1" applyProtection="1">
      <alignment horizontal="left"/>
      <protection locked="0"/>
    </xf>
    <xf numFmtId="0" fontId="0" fillId="0" borderId="40" xfId="0" applyFont="1" applyBorder="1" applyAlignment="1" applyProtection="1">
      <alignment horizontal="left"/>
      <protection locked="0"/>
    </xf>
    <xf numFmtId="0" fontId="0" fillId="0" borderId="31" xfId="0" applyFont="1" applyBorder="1" applyAlignment="1" applyProtection="1">
      <alignment horizontal="left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0" fillId="0" borderId="41" xfId="0" applyFont="1" applyBorder="1" applyAlignment="1" applyProtection="1">
      <alignment horizontal="left"/>
      <protection locked="0"/>
    </xf>
    <xf numFmtId="0" fontId="5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7" fillId="2" borderId="52" xfId="0" applyFont="1" applyFill="1" applyBorder="1" applyAlignment="1" applyProtection="1">
      <alignment horizontal="center" vertical="top"/>
    </xf>
    <xf numFmtId="0" fontId="7" fillId="2" borderId="4" xfId="0" applyFont="1" applyFill="1" applyBorder="1" applyAlignment="1" applyProtection="1">
      <alignment horizontal="center" vertical="top"/>
    </xf>
    <xf numFmtId="0" fontId="7" fillId="2" borderId="53" xfId="0" applyFont="1" applyFill="1" applyBorder="1" applyAlignment="1" applyProtection="1">
      <alignment horizontal="center" vertical="top"/>
    </xf>
    <xf numFmtId="0" fontId="7" fillId="2" borderId="36" xfId="0" applyFont="1" applyFill="1" applyBorder="1" applyAlignment="1" applyProtection="1">
      <alignment horizontal="center" vertical="top"/>
    </xf>
    <xf numFmtId="0" fontId="7" fillId="2" borderId="37" xfId="0" applyFont="1" applyFill="1" applyBorder="1" applyAlignment="1" applyProtection="1">
      <alignment horizontal="center" vertical="top"/>
    </xf>
    <xf numFmtId="0" fontId="7" fillId="2" borderId="38" xfId="0" applyFont="1" applyFill="1" applyBorder="1" applyAlignment="1" applyProtection="1">
      <alignment horizontal="center" vertical="top"/>
    </xf>
    <xf numFmtId="0" fontId="3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0" fillId="0" borderId="39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" fillId="0" borderId="7" xfId="0" applyFont="1" applyFill="1" applyBorder="1" applyAlignment="1" applyProtection="1">
      <alignment horizontal="center"/>
      <protection locked="0"/>
    </xf>
    <xf numFmtId="0" fontId="1" fillId="0" borderId="9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center"/>
      <protection locked="0"/>
    </xf>
    <xf numFmtId="0" fontId="1" fillId="0" borderId="11" xfId="0" applyFont="1" applyFill="1" applyBorder="1" applyAlignment="1" applyProtection="1">
      <alignment horizontal="center"/>
      <protection locked="0"/>
    </xf>
    <xf numFmtId="0" fontId="7" fillId="8" borderId="0" xfId="0" applyFont="1" applyFill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</xf>
    <xf numFmtId="0" fontId="7" fillId="8" borderId="35" xfId="0" applyFont="1" applyFill="1" applyBorder="1" applyAlignment="1" applyProtection="1">
      <alignment horizontal="center" vertical="top"/>
    </xf>
    <xf numFmtId="0" fontId="7" fillId="8" borderId="4" xfId="0" applyFont="1" applyFill="1" applyBorder="1" applyAlignment="1" applyProtection="1">
      <alignment horizontal="center" vertical="top"/>
    </xf>
    <xf numFmtId="0" fontId="7" fillId="8" borderId="22" xfId="0" applyFont="1" applyFill="1" applyBorder="1" applyAlignment="1" applyProtection="1">
      <alignment horizontal="center" vertical="top"/>
    </xf>
    <xf numFmtId="0" fontId="7" fillId="8" borderId="23" xfId="0" applyFont="1" applyFill="1" applyBorder="1" applyAlignment="1" applyProtection="1">
      <alignment horizontal="center" vertical="top"/>
    </xf>
    <xf numFmtId="0" fontId="1" fillId="8" borderId="0" xfId="0" applyFont="1" applyFill="1" applyAlignment="1" applyProtection="1">
      <alignment horizontal="center"/>
    </xf>
    <xf numFmtId="0" fontId="1" fillId="8" borderId="0" xfId="0" applyFont="1" applyFill="1" applyBorder="1" applyAlignment="1" applyProtection="1">
      <alignment horizontal="center"/>
    </xf>
    <xf numFmtId="0" fontId="9" fillId="8" borderId="0" xfId="0" applyFont="1" applyFill="1" applyAlignment="1" applyProtection="1">
      <alignment horizontal="center" vertical="center" textRotation="180"/>
    </xf>
    <xf numFmtId="0" fontId="9" fillId="8" borderId="0" xfId="0" applyFont="1" applyFill="1" applyBorder="1" applyAlignment="1" applyProtection="1">
      <alignment horizontal="center" vertical="center" textRotation="180"/>
    </xf>
    <xf numFmtId="0" fontId="3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7" fillId="5" borderId="35" xfId="0" applyFont="1" applyFill="1" applyBorder="1" applyAlignment="1" applyProtection="1">
      <alignment horizontal="center" vertical="top"/>
    </xf>
    <xf numFmtId="0" fontId="7" fillId="5" borderId="4" xfId="0" applyFont="1" applyFill="1" applyBorder="1" applyAlignment="1" applyProtection="1">
      <alignment horizontal="center" vertical="top"/>
    </xf>
    <xf numFmtId="0" fontId="10" fillId="0" borderId="39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</xf>
    <xf numFmtId="0" fontId="1" fillId="6" borderId="24" xfId="0" applyFont="1" applyFill="1" applyBorder="1" applyAlignment="1" applyProtection="1">
      <alignment horizontal="center"/>
    </xf>
    <xf numFmtId="0" fontId="9" fillId="6" borderId="24" xfId="0" applyFont="1" applyFill="1" applyBorder="1" applyAlignment="1" applyProtection="1">
      <alignment horizontal="center" vertical="center" textRotation="180"/>
    </xf>
    <xf numFmtId="0" fontId="9" fillId="6" borderId="0" xfId="0" applyFont="1" applyFill="1" applyBorder="1" applyAlignment="1" applyProtection="1">
      <alignment horizontal="center" vertical="center" textRotation="180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8" fillId="4" borderId="5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8" fillId="4" borderId="8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10" xfId="0" applyFont="1" applyFill="1" applyBorder="1" applyAlignment="1" applyProtection="1">
      <alignment horizontal="center" vertical="center"/>
    </xf>
    <xf numFmtId="0" fontId="8" fillId="4" borderId="11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center" vertical="center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7" fillId="4" borderId="8" xfId="0" applyFont="1" applyFill="1" applyBorder="1" applyAlignment="1" applyProtection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left" vertical="center"/>
    </xf>
    <xf numFmtId="0" fontId="1" fillId="7" borderId="10" xfId="0" applyFont="1" applyFill="1" applyBorder="1" applyAlignment="1" applyProtection="1">
      <alignment horizontal="left" vertical="center"/>
    </xf>
    <xf numFmtId="0" fontId="10" fillId="0" borderId="13" xfId="0" applyFont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0" borderId="15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center"/>
      <protection locked="0"/>
    </xf>
    <xf numFmtId="0" fontId="10" fillId="0" borderId="16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0" borderId="18" xfId="0" applyFont="1" applyBorder="1" applyAlignment="1" applyProtection="1">
      <alignment horizontal="center"/>
      <protection locked="0"/>
    </xf>
    <xf numFmtId="0" fontId="10" fillId="0" borderId="19" xfId="0" applyFont="1" applyBorder="1" applyAlignment="1" applyProtection="1">
      <alignment horizontal="center"/>
      <protection locked="0"/>
    </xf>
    <xf numFmtId="0" fontId="0" fillId="9" borderId="0" xfId="0" applyFont="1" applyFill="1" applyAlignment="1" applyProtection="1">
      <alignment horizontal="right"/>
    </xf>
    <xf numFmtId="0" fontId="0" fillId="9" borderId="0" xfId="0" applyFont="1" applyFill="1" applyAlignment="1" applyProtection="1">
      <alignment horizontal="left"/>
    </xf>
    <xf numFmtId="0" fontId="0" fillId="0" borderId="5" xfId="0" applyFont="1" applyBorder="1" applyAlignment="1" applyProtection="1">
      <alignment horizontal="left"/>
      <protection locked="0"/>
    </xf>
    <xf numFmtId="0" fontId="0" fillId="0" borderId="6" xfId="0" applyFont="1" applyBorder="1" applyAlignment="1" applyProtection="1">
      <alignment horizontal="left"/>
      <protection locked="0"/>
    </xf>
    <xf numFmtId="0" fontId="0" fillId="0" borderId="7" xfId="0" applyFont="1" applyBorder="1" applyAlignment="1" applyProtection="1">
      <alignment horizontal="left"/>
      <protection locked="0"/>
    </xf>
    <xf numFmtId="0" fontId="0" fillId="0" borderId="9" xfId="0" applyFont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left"/>
      <protection locked="0"/>
    </xf>
    <xf numFmtId="0" fontId="0" fillId="0" borderId="11" xfId="0" applyFont="1" applyBorder="1" applyAlignment="1" applyProtection="1">
      <alignment horizontal="left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1" fillId="7" borderId="10" xfId="0" applyFont="1" applyFill="1" applyBorder="1" applyAlignment="1" applyProtection="1">
      <alignment horizontal="center" vertical="center"/>
    </xf>
    <xf numFmtId="0" fontId="8" fillId="5" borderId="0" xfId="0" applyFont="1" applyFill="1" applyBorder="1" applyAlignment="1" applyProtection="1">
      <alignment horizontal="center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11" fillId="0" borderId="6" xfId="0" applyFont="1" applyBorder="1" applyAlignment="1" applyProtection="1">
      <alignment horizontal="center" vertical="center" textRotation="180"/>
    </xf>
    <xf numFmtId="0" fontId="11" fillId="0" borderId="0" xfId="0" applyFont="1" applyAlignment="1" applyProtection="1">
      <alignment horizontal="center" vertical="center" textRotation="180"/>
    </xf>
    <xf numFmtId="0" fontId="0" fillId="0" borderId="5" xfId="0" applyFont="1" applyBorder="1" applyAlignment="1" applyProtection="1">
      <alignment horizontal="center" vertical="center"/>
    </xf>
    <xf numFmtId="0" fontId="0" fillId="0" borderId="6" xfId="0" applyFont="1" applyBorder="1" applyAlignment="1" applyProtection="1">
      <alignment horizontal="center" vertical="center"/>
    </xf>
    <xf numFmtId="0" fontId="0" fillId="0" borderId="7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0" borderId="10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 textRotation="180" wrapText="1"/>
    </xf>
    <xf numFmtId="0" fontId="11" fillId="0" borderId="0" xfId="0" applyFont="1" applyBorder="1" applyAlignment="1" applyProtection="1">
      <alignment horizontal="center" vertical="center" textRotation="180" wrapText="1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</xf>
    <xf numFmtId="0" fontId="0" fillId="0" borderId="28" xfId="0" applyFont="1" applyBorder="1" applyAlignment="1" applyProtection="1">
      <alignment horizontal="right"/>
      <protection locked="0"/>
    </xf>
    <xf numFmtId="0" fontId="0" fillId="0" borderId="29" xfId="0" applyFont="1" applyBorder="1" applyAlignment="1" applyProtection="1">
      <alignment horizontal="right"/>
      <protection locked="0"/>
    </xf>
    <xf numFmtId="0" fontId="0" fillId="0" borderId="30" xfId="0" applyFont="1" applyBorder="1" applyAlignment="1" applyProtection="1">
      <alignment horizontal="right"/>
      <protection locked="0"/>
    </xf>
    <xf numFmtId="0" fontId="0" fillId="0" borderId="31" xfId="0" applyFont="1" applyBorder="1" applyAlignment="1" applyProtection="1">
      <alignment horizontal="right"/>
      <protection locked="0"/>
    </xf>
    <xf numFmtId="0" fontId="0" fillId="0" borderId="32" xfId="0" applyFont="1" applyBorder="1" applyAlignment="1" applyProtection="1">
      <alignment horizontal="right"/>
      <protection locked="0"/>
    </xf>
    <xf numFmtId="0" fontId="0" fillId="0" borderId="33" xfId="0" applyFont="1" applyBorder="1" applyAlignment="1" applyProtection="1">
      <alignment horizontal="right"/>
      <protection locked="0"/>
    </xf>
    <xf numFmtId="0" fontId="7" fillId="8" borderId="32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horizontal="center"/>
      <protection locked="0"/>
    </xf>
    <xf numFmtId="0" fontId="1" fillId="8" borderId="0" xfId="0" applyFont="1" applyFill="1" applyBorder="1" applyAlignment="1" applyProtection="1">
      <alignment horizontal="center"/>
      <protection locked="0"/>
    </xf>
    <xf numFmtId="0" fontId="1" fillId="8" borderId="32" xfId="0" applyFont="1" applyFill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7" xfId="0" applyFont="1" applyFill="1" applyBorder="1" applyAlignment="1" applyProtection="1">
      <alignment horizontal="left"/>
      <protection locked="0"/>
    </xf>
    <xf numFmtId="0" fontId="1" fillId="0" borderId="9" xfId="0" applyFont="1" applyFill="1" applyBorder="1" applyAlignment="1" applyProtection="1">
      <alignment horizontal="left"/>
      <protection locked="0"/>
    </xf>
    <xf numFmtId="0" fontId="1" fillId="0" borderId="10" xfId="0" applyFont="1" applyFill="1" applyBorder="1" applyAlignment="1" applyProtection="1">
      <alignment horizontal="left"/>
      <protection locked="0"/>
    </xf>
    <xf numFmtId="0" fontId="1" fillId="0" borderId="11" xfId="0" applyFont="1" applyFill="1" applyBorder="1" applyAlignment="1" applyProtection="1">
      <alignment horizontal="left"/>
      <protection locked="0"/>
    </xf>
    <xf numFmtId="0" fontId="10" fillId="0" borderId="0" xfId="0" applyFont="1" applyFill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2" xfId="0" applyBorder="1" applyAlignment="1">
      <alignment horizontal="right"/>
    </xf>
    <xf numFmtId="0" fontId="0" fillId="0" borderId="33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43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45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1" borderId="45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5" borderId="0" xfId="0" applyFill="1" applyAlignment="1">
      <alignment horizontal="center"/>
    </xf>
  </cellXfs>
  <cellStyles count="1">
    <cellStyle name="Normal" xfId="0" builtinId="0"/>
  </cellStyles>
  <dxfs count="2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protection locked="0" hidden="0"/>
    </dxf>
    <dxf>
      <protection locked="1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udzu%20Ringtail%20and%20Timmy%20-%20Th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te"/>
      <sheetName val="Doc"/>
      <sheetName val="Skill Calcs"/>
      <sheetName val="Skill Data"/>
      <sheetName val="Tier Calcs"/>
      <sheetName val="Parameters"/>
      <sheetName val="Rules"/>
    </sheetNames>
    <sheetDataSet>
      <sheetData sheetId="0"/>
      <sheetData sheetId="1">
        <row r="7">
          <cell r="AH7">
            <v>6</v>
          </cell>
        </row>
        <row r="17">
          <cell r="AH17">
            <v>6</v>
          </cell>
          <cell r="AP17">
            <v>8</v>
          </cell>
        </row>
        <row r="27">
          <cell r="AH27">
            <v>6</v>
          </cell>
          <cell r="AP27">
            <v>8</v>
          </cell>
        </row>
        <row r="37">
          <cell r="AH37">
            <v>6</v>
          </cell>
          <cell r="AP37">
            <v>7</v>
          </cell>
        </row>
        <row r="47">
          <cell r="AH47">
            <v>3</v>
          </cell>
        </row>
        <row r="57">
          <cell r="AH57">
            <v>4</v>
          </cell>
        </row>
        <row r="67">
          <cell r="AH67">
            <v>3</v>
          </cell>
        </row>
        <row r="77">
          <cell r="AH77">
            <v>3</v>
          </cell>
          <cell r="AP77">
            <v>8</v>
          </cell>
        </row>
        <row r="87">
          <cell r="AH87">
            <v>3</v>
          </cell>
        </row>
      </sheetData>
      <sheetData sheetId="2">
        <row r="2">
          <cell r="Q2">
            <v>2</v>
          </cell>
        </row>
        <row r="3">
          <cell r="Q3">
            <v>3</v>
          </cell>
        </row>
        <row r="4">
          <cell r="Q4">
            <v>3</v>
          </cell>
        </row>
        <row r="5">
          <cell r="Q5">
            <v>4</v>
          </cell>
        </row>
        <row r="6">
          <cell r="Q6">
            <v>1</v>
          </cell>
        </row>
        <row r="7">
          <cell r="Q7">
            <v>2</v>
          </cell>
        </row>
        <row r="8">
          <cell r="Q8">
            <v>1</v>
          </cell>
        </row>
        <row r="9">
          <cell r="Q9">
            <v>2</v>
          </cell>
        </row>
        <row r="10">
          <cell r="Q10">
            <v>1</v>
          </cell>
        </row>
        <row r="11">
          <cell r="S11">
            <v>136</v>
          </cell>
        </row>
      </sheetData>
      <sheetData sheetId="3"/>
      <sheetData sheetId="4"/>
      <sheetData sheetId="5"/>
      <sheetData sheetId="6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C139D814-5AA2-4147-A1E8-E2549B48BE84}">
    <nsvFilter filterId="{C177FBFD-3C20-4940-B9D8-8B4F594E0F7A}" ref="A1:D77" tableId="1">
      <sortRules>
        <sortRule colId="0" id="{EC94A04B-6F50-421A-92F9-1B1040D04CF9}">
          <sortCondition ref="A1:A77"/>
        </sortRule>
      </sortRules>
    </nsvFilter>
    <nsvFilter filterId="{43A2525D-800A-40B0-9F31-8BEFC9F05353}" ref="F1:I14" tableId="3"/>
    <nsvFilter filterId="{45F1D7EC-A253-47B2-82FE-FEDFE20C6BFB}" ref="K1:W2" tableId="8"/>
    <nsvFilter filterId="{15D8D19B-C669-4F6B-8D78-B22F18E2406E}" ref="I16:J31" tableId="7"/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B07ED1-9188-4B1C-A184-53A57B3DF1F4}" name="Proficiency" displayName="Proficiency" ref="A1:I2" totalsRowShown="0">
  <autoFilter ref="A1:I2" xr:uid="{26B07ED1-9188-4B1C-A184-53A57B3DF1F4}"/>
  <tableColumns count="9">
    <tableColumn id="1" xr3:uid="{91EF23AB-F9BB-4F4B-B488-7D9A824A3BD5}" name="Specific" dataDxfId="24"/>
    <tableColumn id="2" xr3:uid="{4A02D5D6-7201-4CA3-B63E-50104C9EE5C6}" name="Broad" dataDxfId="23"/>
    <tableColumn id="8" xr3:uid="{1072671F-8E93-4359-85C2-FA6720AF6373}" name="Aspect">
      <calculatedColumnFormula>_xlfn.IFNA(INDEX(Broad_Aspect[Aspect],MATCH(Proficiency[[#This Row],[Broad]],Broad_Aspect[Broad],0)),"")</calculatedColumnFormula>
    </tableColumn>
    <tableColumn id="3" xr3:uid="{AA925A7F-5761-452C-B378-15ECD532D681}" name="Rank"/>
    <tableColumn id="4" xr3:uid="{CDD8959F-59B5-4021-B42B-BDDCC9A40783}" name="Techniques"/>
    <tableColumn id="5" xr3:uid="{2285D70D-802E-475D-BEBA-CF0613029C47}" name="Traits"/>
    <tableColumn id="6" xr3:uid="{2844410A-C176-436A-A209-8817BBB4789A}" name="Tier" dataDxfId="22">
      <calculatedColumnFormula>INDEX('Tier Constraints'!A33:N46,MATCH(Proficiency[[#This Row],[Rank]],'Tier Constraints'!A33:A46,0),MATCH(Proficiency[[#This Row],[ActTN]],'Tier Constraints'!A33:N33,0))</calculatedColumnFormula>
    </tableColumn>
    <tableColumn id="9" xr3:uid="{68F526CA-5B30-497E-98D2-8274E98EC290}" name="Target" dataDxfId="21"/>
    <tableColumn id="7" xr3:uid="{B000A219-DEB2-4230-BD98-5FE0CF9FD2CB}" name="ActTN">
      <calculatedColumnFormula>IF(Proficiency[[#This Row],[Target]]&lt;=1,9,Proficiency[[#This Row],[Target]])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01DFF4-8411-4F3E-8E5E-7BB1FE118727}" name="Table6" displayName="Table6" ref="A1:C75" totalsRowShown="0">
  <autoFilter ref="A1:C75" xr:uid="{6E01DFF4-8411-4F3E-8E5E-7BB1FE118727}">
    <filterColumn colId="0" hiddenButton="1"/>
    <filterColumn colId="1" hiddenButton="1"/>
    <filterColumn colId="2" hiddenButton="1"/>
  </autoFilter>
  <sortState xmlns:xlrd2="http://schemas.microsoft.com/office/spreadsheetml/2017/richdata2" ref="A2:C75">
    <sortCondition ref="A1:A75"/>
  </sortState>
  <tableColumns count="3">
    <tableColumn id="1" xr3:uid="{481ED29B-50C1-4BC1-BB82-F28F73366125}" name="Characteristic"/>
    <tableColumn id="2" xr3:uid="{23FEEC5A-0C91-4AD6-ADD4-E10341780E24}" name="Cost" dataDxfId="20"/>
    <tableColumn id="3" xr3:uid="{702DD646-9EA3-445D-8BF7-9C805EE33FD8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77FBFD-3C20-4940-B9D8-8B4F594E0F7A}" name="Table1" displayName="Table1" ref="A1:D77" totalsRowShown="0">
  <autoFilter ref="A1:D77" xr:uid="{C177FBFD-3C20-4940-B9D8-8B4F594E0F7A}"/>
  <sortState xmlns:xlrd2="http://schemas.microsoft.com/office/spreadsheetml/2017/richdata2" ref="A2:D77">
    <sortCondition ref="A1:A77"/>
  </sortState>
  <tableColumns count="4">
    <tableColumn id="1" xr3:uid="{EC94A04B-6F50-421A-92F9-1B1040D04CF9}" name="Specific"/>
    <tableColumn id="2" xr3:uid="{A70FB7F0-685B-4893-A379-B72E0B54E996}" name="Broad"/>
    <tableColumn id="3" xr3:uid="{F8BEEDA2-8AF1-4717-B1D0-004254266373}" name="Aspect"/>
    <tableColumn id="4" xr3:uid="{12D215FE-3B52-49CF-AC07-2C23DEA94E3E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2525D-800A-40B0-9F31-8BEFC9F05353}" name="Table3" displayName="Table3" ref="F1:I14" totalsRowShown="0" dataDxfId="19">
  <autoFilter ref="F1:I14" xr:uid="{43A2525D-800A-40B0-9F31-8BEFC9F05353}"/>
  <tableColumns count="4">
    <tableColumn id="1" xr3:uid="{D4BCA7CB-402A-46A3-9741-794776A275B3}" name="Rank" dataDxfId="18"/>
    <tableColumn id="2" xr3:uid="{C4E0E352-3C6D-4658-972E-6A1DACD32EB6}" name="Cost" dataDxfId="17"/>
    <tableColumn id="3" xr3:uid="{B9912B71-E638-4770-AAF8-4683CAE03F90}" name="Total" dataDxfId="16">
      <calculatedColumnFormula>G2+H1</calculatedColumnFormula>
    </tableColumn>
    <tableColumn id="4" xr3:uid="{E928DEBF-EC69-46E6-B299-FBB08E662280}" name="Title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F1D7EC-A253-47B2-82FE-FEDFE20C6BFB}" name="Table8" displayName="Table8" ref="K1:W2" totalsRowShown="0" headerRowDxfId="14" dataDxfId="13">
  <autoFilter ref="K1:W2" xr:uid="{45F1D7EC-A253-47B2-82FE-FEDFE20C6BFB}"/>
  <tableColumns count="13">
    <tableColumn id="1" xr3:uid="{9A524FE8-96BE-415E-A6AF-F917044DC67E}" name="NGL" dataDxfId="12"/>
    <tableColumn id="2" xr3:uid="{C9806803-DC5D-43B2-BD9F-4F9F53DEEF6B}" name="ESY" dataDxfId="11"/>
    <tableColumn id="3" xr3:uid="{258B9E24-A23D-4511-9E6A-9F7D612DA7F3}" name="AVG" dataDxfId="10"/>
    <tableColumn id="4" xr3:uid="{C8647618-69A5-4057-8D0C-042A38DF1D0D}" name="TAX" dataDxfId="9"/>
    <tableColumn id="5" xr3:uid="{464D9C8E-8A14-458B-B6B5-C40D9481B607}" name="DEM" dataDxfId="8"/>
    <tableColumn id="6" xr3:uid="{DE2C3B09-78FB-4F50-A1DD-EBC5BB65871D}" name="BAF" dataDxfId="7"/>
    <tableColumn id="7" xr3:uid="{EE8ADC49-EC5A-4960-A482-232C806E8094}" name="DAU" dataDxfId="6"/>
    <tableColumn id="8" xr3:uid="{ED62BE34-242E-48F6-8970-663EADA6AB06}" name="FOR" dataDxfId="5"/>
    <tableColumn id="9" xr3:uid="{33F907AB-963D-4690-AE83-46D7E458221D}" name="ARD" dataDxfId="4"/>
    <tableColumn id="10" xr3:uid="{52266641-FC9C-4B1B-BA61-0E942A88F633}" name="SEV" dataDxfId="3"/>
    <tableColumn id="11" xr3:uid="{068A8C99-8029-4D62-BF4E-DB19162C5634}" name="EXT" dataDxfId="2"/>
    <tableColumn id="13" xr3:uid="{CD991A72-5015-4F18-A5FD-6534586733ED}" name="ABS" dataDxfId="1"/>
    <tableColumn id="12" xr3:uid="{F28AED98-23A0-48F9-B80B-EC9F68A6FA6C}" name="IMP" dataDxfId="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D8D19B-C669-4F6B-8D78-B22F18E2406E}" name="Broad_Aspect" displayName="Broad_Aspect" ref="I16:J31" totalsRowShown="0">
  <autoFilter ref="I16:J31" xr:uid="{15D8D19B-C669-4F6B-8D78-B22F18E2406E}">
    <filterColumn colId="0" hiddenButton="1"/>
    <filterColumn colId="1" hiddenButton="1"/>
  </autoFilter>
  <tableColumns count="2">
    <tableColumn id="1" xr3:uid="{AE121415-686D-438D-B94B-C8CB2D455653}" name="Broad"/>
    <tableColumn id="2" xr3:uid="{2E6DDA7C-51C4-460E-B4CB-1AF1489D22BD}" name="Aspec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1BB9B9-777E-4B9A-B5D7-39EB59B84B5A}" name="Table16" displayName="Table16" ref="A1:C73" totalsRowShown="0">
  <autoFilter ref="A1:C73" xr:uid="{EFC85E85-346C-4380-92B0-3E2F57B320B7}"/>
  <sortState xmlns:xlrd2="http://schemas.microsoft.com/office/spreadsheetml/2017/richdata2" ref="A2:C72">
    <sortCondition ref="A1:A73"/>
  </sortState>
  <tableColumns count="3">
    <tableColumn id="2" xr3:uid="{59E80BBF-618B-44C6-B31B-BFB3D9130ADD}" name="Term"/>
    <tableColumn id="3" xr3:uid="{7F0A44D5-472A-488E-B10B-12BFB015B7CB}" name="Location"/>
    <tableColumn id="4" xr3:uid="{B1763697-BBE0-4960-8923-07073822DDAC}" name="Definition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rallax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Tw Cen MT-Rockwell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Parallax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04000"/>
              </a:schemeClr>
            </a:gs>
            <a:gs pos="100000">
              <a:schemeClr val="phClr">
                <a:tint val="8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2000"/>
              </a:schemeClr>
            </a:gs>
            <a:gs pos="100000">
              <a:schemeClr val="phClr">
                <a:shade val="88000"/>
                <a:lumMod val="94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rnd" cmpd="sng" algn="ctr">
          <a:solidFill>
            <a:schemeClr val="phClr">
              <a:tint val="6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reflection blurRad="12700" stA="26000" endPos="32000" dist="12700" dir="5400000" sy="-100000" rotWithShape="0"/>
          </a:effectLst>
        </a:effectStyle>
        <a:effectStyle>
          <a:effectLst>
            <a:outerShdw blurRad="38100" dist="25400" dir="5400000" rotWithShape="0">
              <a:srgbClr val="000000">
                <a:alpha val="6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254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76000"/>
                <a:satMod val="180000"/>
              </a:schemeClr>
              <a:schemeClr val="phClr">
                <a:tint val="80000"/>
                <a:satMod val="120000"/>
                <a:lumMod val="18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allax" id="{3388167B-A2EB-4685-9635-1831D9AEF8C4}" vid="{4F7A876A-7598-49CA-AFC8-8EDA2551E4A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6" Type="http://schemas.microsoft.com/office/2019/04/relationships/namedSheetView" Target="../namedSheetViews/namedSheetView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F3AB8-749A-4DCF-9E99-F8E6DF36D034}">
  <sheetPr codeName="Sheet1"/>
  <dimension ref="A1:FY102"/>
  <sheetViews>
    <sheetView showZeros="0" zoomScaleNormal="100" workbookViewId="0">
      <selection activeCell="A5" sqref="A5:AA6"/>
    </sheetView>
  </sheetViews>
  <sheetFormatPr defaultColWidth="1" defaultRowHeight="6" customHeight="1" x14ac:dyDescent="0.25"/>
  <cols>
    <col min="1" max="211" width="1" style="46" customWidth="1"/>
    <col min="212" max="16384" width="1" style="46"/>
  </cols>
  <sheetData>
    <row r="1" spans="1:123" s="47" customFormat="1" ht="6" customHeight="1" x14ac:dyDescent="0.25">
      <c r="A1" s="160" t="s">
        <v>0</v>
      </c>
      <c r="B1" s="161"/>
      <c r="C1" s="161"/>
      <c r="D1" s="161"/>
      <c r="E1" s="161"/>
      <c r="F1" s="162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60" t="s">
        <v>1</v>
      </c>
      <c r="BK1" s="161"/>
      <c r="BL1" s="161"/>
      <c r="BM1" s="161"/>
      <c r="BN1" s="161"/>
      <c r="BO1" s="161"/>
      <c r="BP1" s="161"/>
      <c r="BQ1" s="162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145"/>
      <c r="CY1" s="145"/>
      <c r="CZ1" s="145"/>
      <c r="DA1" s="145"/>
      <c r="DB1" s="145"/>
      <c r="DC1" s="145"/>
      <c r="DD1" s="145"/>
      <c r="DE1" s="145"/>
      <c r="DF1" s="145"/>
      <c r="DG1" s="145"/>
      <c r="DH1" s="145"/>
      <c r="DI1" s="151" t="s">
        <v>2</v>
      </c>
      <c r="DJ1" s="152"/>
      <c r="DK1" s="152"/>
      <c r="DL1" s="152"/>
      <c r="DM1" s="152"/>
      <c r="DN1" s="152"/>
      <c r="DO1" s="152"/>
      <c r="DP1" s="152"/>
      <c r="DQ1" s="152"/>
      <c r="DR1" s="152"/>
      <c r="DS1" s="153"/>
    </row>
    <row r="2" spans="1:123" ht="6" customHeight="1" x14ac:dyDescent="0.25">
      <c r="A2" s="163"/>
      <c r="B2" s="164"/>
      <c r="C2" s="164"/>
      <c r="D2" s="164"/>
      <c r="E2" s="164"/>
      <c r="F2" s="165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63"/>
      <c r="BK2" s="164"/>
      <c r="BL2" s="164"/>
      <c r="BM2" s="164"/>
      <c r="BN2" s="164"/>
      <c r="BO2" s="164"/>
      <c r="BP2" s="164"/>
      <c r="BQ2" s="165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54"/>
      <c r="DJ2" s="155"/>
      <c r="DK2" s="155"/>
      <c r="DL2" s="155"/>
      <c r="DM2" s="155"/>
      <c r="DN2" s="155"/>
      <c r="DO2" s="155"/>
      <c r="DP2" s="155"/>
      <c r="DQ2" s="155"/>
      <c r="DR2" s="155"/>
      <c r="DS2" s="156"/>
    </row>
    <row r="3" spans="1:123" ht="6" customHeight="1" thickBot="1" x14ac:dyDescent="0.3">
      <c r="A3" s="166"/>
      <c r="B3" s="167"/>
      <c r="C3" s="167"/>
      <c r="D3" s="167"/>
      <c r="E3" s="167"/>
      <c r="F3" s="168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66"/>
      <c r="BK3" s="167"/>
      <c r="BL3" s="167"/>
      <c r="BM3" s="167"/>
      <c r="BN3" s="167"/>
      <c r="BO3" s="167"/>
      <c r="BP3" s="167"/>
      <c r="BQ3" s="168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57"/>
      <c r="DJ3" s="158"/>
      <c r="DK3" s="158"/>
      <c r="DL3" s="158"/>
      <c r="DM3" s="158"/>
      <c r="DN3" s="158"/>
      <c r="DO3" s="158"/>
      <c r="DP3" s="158"/>
      <c r="DQ3" s="158"/>
      <c r="DR3" s="158"/>
      <c r="DS3" s="159"/>
    </row>
    <row r="4" spans="1:123" ht="6" customHeight="1" x14ac:dyDescent="0.25">
      <c r="A4" s="44"/>
      <c r="B4" s="44"/>
      <c r="C4" s="44"/>
      <c r="D4" s="44"/>
      <c r="E4" s="44"/>
      <c r="F4" s="44"/>
      <c r="G4" s="4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CC4" s="47"/>
    </row>
    <row r="5" spans="1:123" ht="6" customHeight="1" x14ac:dyDescent="0.25">
      <c r="A5" s="170" t="s">
        <v>134</v>
      </c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69" t="s">
        <v>117</v>
      </c>
      <c r="AC5" s="169"/>
      <c r="AD5" s="169"/>
      <c r="AE5" s="169"/>
      <c r="AF5" s="169"/>
      <c r="AG5" s="169"/>
      <c r="AH5" s="169" t="s">
        <v>16</v>
      </c>
      <c r="AI5" s="169"/>
      <c r="AJ5" s="169"/>
      <c r="AK5" s="169"/>
      <c r="AL5" s="169" t="s">
        <v>17</v>
      </c>
      <c r="AM5" s="169"/>
      <c r="AN5" s="169"/>
      <c r="AO5" s="169"/>
      <c r="AP5" s="169" t="s">
        <v>15</v>
      </c>
      <c r="AQ5" s="169"/>
      <c r="AR5" s="169"/>
      <c r="AS5" s="169"/>
      <c r="AU5" s="70" t="s">
        <v>135</v>
      </c>
      <c r="AV5" s="70"/>
      <c r="AW5" s="70"/>
      <c r="AX5" s="70"/>
      <c r="AY5" s="70"/>
      <c r="AZ5" s="70" t="s">
        <v>136</v>
      </c>
      <c r="BA5" s="70"/>
      <c r="BB5" s="70"/>
      <c r="BC5" s="70"/>
      <c r="BD5" s="77" t="s">
        <v>4</v>
      </c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1" t="s">
        <v>137</v>
      </c>
      <c r="BW5" s="72"/>
      <c r="BX5" s="72"/>
      <c r="BY5" s="72"/>
      <c r="BZ5" s="71" t="s">
        <v>138</v>
      </c>
      <c r="CA5" s="72"/>
      <c r="CB5" s="72"/>
      <c r="CC5" s="72"/>
      <c r="CD5" s="72"/>
      <c r="CF5" s="182" t="s">
        <v>257</v>
      </c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1" t="s">
        <v>21</v>
      </c>
      <c r="DP5" s="181"/>
      <c r="DQ5" s="181"/>
      <c r="DR5" s="181"/>
      <c r="DS5" s="181"/>
    </row>
    <row r="6" spans="1:123" ht="6" customHeight="1" x14ac:dyDescent="0.25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95"/>
      <c r="AC6" s="195"/>
      <c r="AD6" s="195"/>
      <c r="AE6" s="195"/>
      <c r="AF6" s="195"/>
      <c r="AG6" s="195"/>
      <c r="AH6" s="169"/>
      <c r="AI6" s="169"/>
      <c r="AJ6" s="169"/>
      <c r="AK6" s="169"/>
      <c r="AL6" s="169"/>
      <c r="AM6" s="169"/>
      <c r="AN6" s="169"/>
      <c r="AO6" s="169"/>
      <c r="AP6" s="169"/>
      <c r="AQ6" s="169"/>
      <c r="AR6" s="169"/>
      <c r="AS6" s="169"/>
      <c r="AU6" s="196"/>
      <c r="AV6" s="196"/>
      <c r="AW6" s="196"/>
      <c r="AX6" s="196"/>
      <c r="AY6" s="196"/>
      <c r="AZ6" s="70"/>
      <c r="BA6" s="70"/>
      <c r="BB6" s="70"/>
      <c r="BC6" s="70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1"/>
      <c r="BW6" s="72"/>
      <c r="BX6" s="72"/>
      <c r="BY6" s="72"/>
      <c r="BZ6" s="71"/>
      <c r="CA6" s="72"/>
      <c r="CB6" s="72"/>
      <c r="CC6" s="72"/>
      <c r="CD6" s="7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1"/>
      <c r="DP6" s="181"/>
      <c r="DQ6" s="181"/>
      <c r="DR6" s="181"/>
      <c r="DS6" s="181"/>
    </row>
    <row r="7" spans="1:123" ht="6" customHeight="1" x14ac:dyDescent="0.25">
      <c r="AU7" s="69"/>
      <c r="AV7" s="69"/>
      <c r="AW7" s="69"/>
      <c r="AX7" s="69"/>
      <c r="AY7" s="69"/>
      <c r="AZ7" s="69"/>
      <c r="BA7" s="69"/>
      <c r="BB7" s="69"/>
      <c r="BC7" s="69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69"/>
      <c r="BW7" s="69"/>
      <c r="BX7" s="69"/>
      <c r="BY7" s="69"/>
      <c r="BZ7" s="69"/>
      <c r="CA7" s="69"/>
      <c r="CB7" s="69"/>
      <c r="CC7" s="69"/>
      <c r="CD7" s="69"/>
      <c r="CF7" s="183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4"/>
      <c r="CZ7" s="184"/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4"/>
      <c r="DL7" s="184"/>
      <c r="DM7" s="184"/>
      <c r="DN7" s="185"/>
      <c r="DO7" s="189"/>
      <c r="DP7" s="190"/>
      <c r="DQ7" s="190"/>
      <c r="DR7" s="190"/>
      <c r="DS7" s="191"/>
    </row>
    <row r="8" spans="1:123" ht="6" customHeight="1" x14ac:dyDescent="0.25">
      <c r="AU8" s="69"/>
      <c r="AV8" s="69"/>
      <c r="AW8" s="69"/>
      <c r="AX8" s="69"/>
      <c r="AY8" s="69"/>
      <c r="AZ8" s="69"/>
      <c r="BA8" s="69"/>
      <c r="BB8" s="69"/>
      <c r="BC8" s="69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69"/>
      <c r="BW8" s="69"/>
      <c r="BX8" s="69"/>
      <c r="BY8" s="69"/>
      <c r="BZ8" s="69"/>
      <c r="CA8" s="69"/>
      <c r="CB8" s="69"/>
      <c r="CC8" s="69"/>
      <c r="CD8" s="69"/>
      <c r="CF8" s="186"/>
      <c r="CG8" s="187"/>
      <c r="CH8" s="187"/>
      <c r="CI8" s="187"/>
      <c r="CJ8" s="187"/>
      <c r="CK8" s="187"/>
      <c r="CL8" s="187"/>
      <c r="CM8" s="187"/>
      <c r="CN8" s="187"/>
      <c r="CO8" s="187"/>
      <c r="CP8" s="187"/>
      <c r="CQ8" s="187"/>
      <c r="CR8" s="187"/>
      <c r="CS8" s="187"/>
      <c r="CT8" s="187"/>
      <c r="CU8" s="187"/>
      <c r="CV8" s="187"/>
      <c r="CW8" s="187"/>
      <c r="CX8" s="187"/>
      <c r="CY8" s="187"/>
      <c r="CZ8" s="187"/>
      <c r="DA8" s="187"/>
      <c r="DB8" s="187"/>
      <c r="DC8" s="187"/>
      <c r="DD8" s="187"/>
      <c r="DE8" s="187"/>
      <c r="DF8" s="187"/>
      <c r="DG8" s="187"/>
      <c r="DH8" s="187"/>
      <c r="DI8" s="187"/>
      <c r="DJ8" s="187"/>
      <c r="DK8" s="187"/>
      <c r="DL8" s="187"/>
      <c r="DM8" s="187"/>
      <c r="DN8" s="188"/>
      <c r="DO8" s="192"/>
      <c r="DP8" s="193"/>
      <c r="DQ8" s="193"/>
      <c r="DR8" s="193"/>
      <c r="DS8" s="194"/>
    </row>
    <row r="9" spans="1:123" ht="6" customHeight="1" x14ac:dyDescent="0.25">
      <c r="AU9" s="69"/>
      <c r="AV9" s="69"/>
      <c r="AW9" s="69"/>
      <c r="AX9" s="69"/>
      <c r="AY9" s="69"/>
      <c r="AZ9" s="69"/>
      <c r="BA9" s="69"/>
      <c r="BB9" s="69"/>
      <c r="BC9" s="69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69"/>
      <c r="BW9" s="69"/>
      <c r="BX9" s="69"/>
      <c r="BY9" s="69"/>
      <c r="BZ9" s="69"/>
      <c r="CA9" s="69"/>
      <c r="CB9" s="69"/>
      <c r="CC9" s="69"/>
      <c r="CD9" s="69"/>
      <c r="CF9" s="183"/>
      <c r="CG9" s="184"/>
      <c r="CH9" s="184"/>
      <c r="CI9" s="184"/>
      <c r="CJ9" s="184"/>
      <c r="CK9" s="184"/>
      <c r="CL9" s="184"/>
      <c r="CM9" s="184"/>
      <c r="CN9" s="184"/>
      <c r="CO9" s="184"/>
      <c r="CP9" s="184"/>
      <c r="CQ9" s="184"/>
      <c r="CR9" s="184"/>
      <c r="CS9" s="184"/>
      <c r="CT9" s="184"/>
      <c r="CU9" s="184"/>
      <c r="CV9" s="184"/>
      <c r="CW9" s="184"/>
      <c r="CX9" s="184"/>
      <c r="CY9" s="184"/>
      <c r="CZ9" s="184"/>
      <c r="DA9" s="184"/>
      <c r="DB9" s="184"/>
      <c r="DC9" s="184"/>
      <c r="DD9" s="184"/>
      <c r="DE9" s="184"/>
      <c r="DF9" s="184"/>
      <c r="DG9" s="184"/>
      <c r="DH9" s="184"/>
      <c r="DI9" s="184"/>
      <c r="DJ9" s="184"/>
      <c r="DK9" s="184"/>
      <c r="DL9" s="184"/>
      <c r="DM9" s="184"/>
      <c r="DN9" s="185"/>
      <c r="DO9" s="189"/>
      <c r="DP9" s="190"/>
      <c r="DQ9" s="190"/>
      <c r="DR9" s="190"/>
      <c r="DS9" s="191"/>
    </row>
    <row r="10" spans="1:123" ht="6" customHeight="1" x14ac:dyDescent="0.25">
      <c r="AU10" s="69"/>
      <c r="AV10" s="69"/>
      <c r="AW10" s="69"/>
      <c r="AX10" s="69"/>
      <c r="AY10" s="69"/>
      <c r="AZ10" s="69"/>
      <c r="BA10" s="69"/>
      <c r="BB10" s="69"/>
      <c r="BC10" s="69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69"/>
      <c r="BW10" s="69"/>
      <c r="BX10" s="69"/>
      <c r="BY10" s="69"/>
      <c r="BZ10" s="69"/>
      <c r="CA10" s="69"/>
      <c r="CB10" s="69"/>
      <c r="CC10" s="69"/>
      <c r="CD10" s="69"/>
      <c r="CF10" s="186"/>
      <c r="CG10" s="187"/>
      <c r="CH10" s="187"/>
      <c r="CI10" s="187"/>
      <c r="CJ10" s="187"/>
      <c r="CK10" s="187"/>
      <c r="CL10" s="187"/>
      <c r="CM10" s="187"/>
      <c r="CN10" s="187"/>
      <c r="CO10" s="187"/>
      <c r="CP10" s="187"/>
      <c r="CQ10" s="18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8"/>
      <c r="DO10" s="192"/>
      <c r="DP10" s="193"/>
      <c r="DQ10" s="193"/>
      <c r="DR10" s="193"/>
      <c r="DS10" s="194"/>
    </row>
    <row r="11" spans="1:123" ht="6" customHeight="1" x14ac:dyDescent="0.25">
      <c r="AU11" s="75" t="s">
        <v>6</v>
      </c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86" t="s">
        <v>19</v>
      </c>
      <c r="BH11" s="87"/>
      <c r="BI11" s="118">
        <f>3*(AU7+1)</f>
        <v>3</v>
      </c>
      <c r="BJ11" s="118"/>
      <c r="BK11" s="118"/>
      <c r="BL11" s="118"/>
      <c r="BM11" s="72" t="s">
        <v>7</v>
      </c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143" t="s">
        <v>19</v>
      </c>
      <c r="BZ11" s="143"/>
      <c r="CA11" s="118">
        <f>3*(BZ7+1)</f>
        <v>3</v>
      </c>
      <c r="CB11" s="118"/>
      <c r="CC11" s="118"/>
      <c r="CD11" s="118"/>
      <c r="CE11" s="50"/>
      <c r="CF11" s="183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4"/>
      <c r="CZ11" s="184"/>
      <c r="DA11" s="184"/>
      <c r="DB11" s="184"/>
      <c r="DC11" s="184"/>
      <c r="DD11" s="184"/>
      <c r="DE11" s="184"/>
      <c r="DF11" s="184"/>
      <c r="DG11" s="184"/>
      <c r="DH11" s="184"/>
      <c r="DI11" s="184"/>
      <c r="DJ11" s="184"/>
      <c r="DK11" s="184"/>
      <c r="DL11" s="184"/>
      <c r="DM11" s="184"/>
      <c r="DN11" s="185"/>
      <c r="DO11" s="189"/>
      <c r="DP11" s="190"/>
      <c r="DQ11" s="190"/>
      <c r="DR11" s="190"/>
      <c r="DS11" s="191"/>
    </row>
    <row r="12" spans="1:123" ht="6" customHeight="1" x14ac:dyDescent="0.25"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86"/>
      <c r="BH12" s="87"/>
      <c r="BI12" s="118"/>
      <c r="BJ12" s="118"/>
      <c r="BK12" s="118"/>
      <c r="BL12" s="118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144"/>
      <c r="BZ12" s="144"/>
      <c r="CA12" s="118"/>
      <c r="CB12" s="118"/>
      <c r="CC12" s="118"/>
      <c r="CD12" s="118"/>
      <c r="CE12" s="50"/>
      <c r="CF12" s="186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  <c r="DK12" s="187"/>
      <c r="DL12" s="187"/>
      <c r="DM12" s="187"/>
      <c r="DN12" s="188"/>
      <c r="DO12" s="192"/>
      <c r="DP12" s="193"/>
      <c r="DQ12" s="193"/>
      <c r="DR12" s="193"/>
      <c r="DS12" s="194"/>
    </row>
    <row r="13" spans="1:123" ht="6" customHeight="1" x14ac:dyDescent="0.25"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88"/>
      <c r="BH13" s="88"/>
      <c r="BI13" s="118"/>
      <c r="BJ13" s="118"/>
      <c r="BK13" s="118"/>
      <c r="BL13" s="118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144"/>
      <c r="BZ13" s="144"/>
      <c r="CA13" s="118"/>
      <c r="CB13" s="118"/>
      <c r="CC13" s="118"/>
      <c r="CD13" s="118"/>
      <c r="CE13" s="50"/>
      <c r="CF13" s="183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4"/>
      <c r="CZ13" s="184"/>
      <c r="DA13" s="184"/>
      <c r="DB13" s="184"/>
      <c r="DC13" s="184"/>
      <c r="DD13" s="184"/>
      <c r="DE13" s="184"/>
      <c r="DF13" s="184"/>
      <c r="DG13" s="184"/>
      <c r="DH13" s="184"/>
      <c r="DI13" s="184"/>
      <c r="DJ13" s="184"/>
      <c r="DK13" s="184"/>
      <c r="DL13" s="184"/>
      <c r="DM13" s="184"/>
      <c r="DN13" s="185"/>
      <c r="DO13" s="189"/>
      <c r="DP13" s="190"/>
      <c r="DQ13" s="190"/>
      <c r="DR13" s="190"/>
      <c r="DS13" s="191"/>
    </row>
    <row r="14" spans="1:123" ht="6" customHeight="1" x14ac:dyDescent="0.25">
      <c r="AU14" s="172"/>
      <c r="AV14" s="173"/>
      <c r="AW14" s="173"/>
      <c r="AX14" s="173"/>
      <c r="AY14" s="173"/>
      <c r="AZ14" s="173"/>
      <c r="BA14" s="173"/>
      <c r="BB14" s="173"/>
      <c r="BC14" s="174"/>
      <c r="BD14" s="172"/>
      <c r="BE14" s="173"/>
      <c r="BF14" s="173"/>
      <c r="BG14" s="173"/>
      <c r="BH14" s="173"/>
      <c r="BI14" s="176"/>
      <c r="BJ14" s="176"/>
      <c r="BK14" s="176"/>
      <c r="BL14" s="176"/>
      <c r="BM14" s="101"/>
      <c r="BN14" s="101"/>
      <c r="BO14" s="101"/>
      <c r="BP14" s="101"/>
      <c r="BQ14" s="101"/>
      <c r="BR14" s="101"/>
      <c r="BS14" s="101"/>
      <c r="BT14" s="101"/>
      <c r="BU14" s="101"/>
      <c r="BV14" s="101"/>
      <c r="BW14" s="101"/>
      <c r="BX14" s="101"/>
      <c r="BY14" s="101"/>
      <c r="BZ14" s="101"/>
      <c r="CA14" s="101"/>
      <c r="CB14" s="101"/>
      <c r="CC14" s="101"/>
      <c r="CD14" s="101"/>
      <c r="CF14" s="186"/>
      <c r="CG14" s="187"/>
      <c r="CH14" s="187"/>
      <c r="CI14" s="187"/>
      <c r="CJ14" s="187"/>
      <c r="CK14" s="187"/>
      <c r="CL14" s="187"/>
      <c r="CM14" s="187"/>
      <c r="CN14" s="187"/>
      <c r="CO14" s="187"/>
      <c r="CP14" s="187"/>
      <c r="CQ14" s="187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7"/>
      <c r="DK14" s="187"/>
      <c r="DL14" s="187"/>
      <c r="DM14" s="187"/>
      <c r="DN14" s="188"/>
      <c r="DO14" s="192"/>
      <c r="DP14" s="193"/>
      <c r="DQ14" s="193"/>
      <c r="DR14" s="193"/>
      <c r="DS14" s="194"/>
    </row>
    <row r="15" spans="1:123" ht="6" customHeight="1" x14ac:dyDescent="0.25">
      <c r="AU15" s="175"/>
      <c r="AV15" s="176"/>
      <c r="AW15" s="176"/>
      <c r="AX15" s="176"/>
      <c r="AY15" s="176"/>
      <c r="AZ15" s="176"/>
      <c r="BA15" s="176"/>
      <c r="BB15" s="176"/>
      <c r="BC15" s="177"/>
      <c r="BD15" s="175"/>
      <c r="BE15" s="176"/>
      <c r="BF15" s="176"/>
      <c r="BG15" s="176"/>
      <c r="BH15" s="176"/>
      <c r="BI15" s="176"/>
      <c r="BJ15" s="176"/>
      <c r="BK15" s="176"/>
      <c r="BL15" s="176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F15" s="183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4"/>
      <c r="CZ15" s="184"/>
      <c r="DA15" s="184"/>
      <c r="DB15" s="184"/>
      <c r="DC15" s="184"/>
      <c r="DD15" s="184"/>
      <c r="DE15" s="184"/>
      <c r="DF15" s="184"/>
      <c r="DG15" s="184"/>
      <c r="DH15" s="184"/>
      <c r="DI15" s="184"/>
      <c r="DJ15" s="184"/>
      <c r="DK15" s="184"/>
      <c r="DL15" s="184"/>
      <c r="DM15" s="184"/>
      <c r="DN15" s="185"/>
      <c r="DO15" s="189"/>
      <c r="DP15" s="190"/>
      <c r="DQ15" s="190"/>
      <c r="DR15" s="190"/>
      <c r="DS15" s="191"/>
    </row>
    <row r="16" spans="1:123" ht="6" customHeight="1" x14ac:dyDescent="0.25">
      <c r="AU16" s="175"/>
      <c r="AV16" s="176"/>
      <c r="AW16" s="176"/>
      <c r="AX16" s="176"/>
      <c r="AY16" s="176"/>
      <c r="AZ16" s="176"/>
      <c r="BA16" s="176"/>
      <c r="BB16" s="176"/>
      <c r="BC16" s="177"/>
      <c r="BD16" s="175"/>
      <c r="BE16" s="176"/>
      <c r="BF16" s="176"/>
      <c r="BG16" s="176"/>
      <c r="BH16" s="176"/>
      <c r="BI16" s="176"/>
      <c r="BJ16" s="176"/>
      <c r="BK16" s="176"/>
      <c r="BL16" s="176"/>
      <c r="BM16" s="101"/>
      <c r="BN16" s="101"/>
      <c r="BO16" s="101"/>
      <c r="BP16" s="101"/>
      <c r="BQ16" s="101"/>
      <c r="BR16" s="101"/>
      <c r="BS16" s="101"/>
      <c r="BT16" s="101"/>
      <c r="BU16" s="101"/>
      <c r="BV16" s="101"/>
      <c r="BW16" s="101"/>
      <c r="BX16" s="101"/>
      <c r="BY16" s="101"/>
      <c r="BZ16" s="101"/>
      <c r="CA16" s="101"/>
      <c r="CB16" s="101"/>
      <c r="CC16" s="101"/>
      <c r="CD16" s="101"/>
      <c r="CF16" s="186"/>
      <c r="CG16" s="187"/>
      <c r="CH16" s="187"/>
      <c r="CI16" s="187"/>
      <c r="CJ16" s="187"/>
      <c r="CK16" s="187"/>
      <c r="CL16" s="187"/>
      <c r="CM16" s="187"/>
      <c r="CN16" s="187"/>
      <c r="CO16" s="187"/>
      <c r="CP16" s="187"/>
      <c r="CQ16" s="187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7"/>
      <c r="DK16" s="187"/>
      <c r="DL16" s="187"/>
      <c r="DM16" s="187"/>
      <c r="DN16" s="188"/>
      <c r="DO16" s="192"/>
      <c r="DP16" s="193"/>
      <c r="DQ16" s="193"/>
      <c r="DR16" s="193"/>
      <c r="DS16" s="194"/>
    </row>
    <row r="17" spans="47:123" ht="6" customHeight="1" x14ac:dyDescent="0.25">
      <c r="AU17" s="175"/>
      <c r="AV17" s="176"/>
      <c r="AW17" s="176"/>
      <c r="AX17" s="176"/>
      <c r="AY17" s="176"/>
      <c r="AZ17" s="176"/>
      <c r="BA17" s="176"/>
      <c r="BB17" s="176"/>
      <c r="BC17" s="177"/>
      <c r="BD17" s="175"/>
      <c r="BE17" s="176"/>
      <c r="BF17" s="176"/>
      <c r="BG17" s="176"/>
      <c r="BH17" s="176"/>
      <c r="BI17" s="176"/>
      <c r="BJ17" s="176"/>
      <c r="BK17" s="176"/>
      <c r="BL17" s="176"/>
      <c r="BM17" s="101"/>
      <c r="BN17" s="101"/>
      <c r="BO17" s="101"/>
      <c r="BP17" s="101"/>
      <c r="BQ17" s="101"/>
      <c r="BR17" s="101"/>
      <c r="BS17" s="101"/>
      <c r="BT17" s="101"/>
      <c r="BU17" s="101"/>
      <c r="BV17" s="101"/>
      <c r="BW17" s="101"/>
      <c r="BX17" s="101"/>
      <c r="BY17" s="101"/>
      <c r="BZ17" s="101"/>
      <c r="CA17" s="101"/>
      <c r="CB17" s="101"/>
      <c r="CC17" s="101"/>
      <c r="CD17" s="101"/>
      <c r="CF17" s="183"/>
      <c r="CG17" s="184"/>
      <c r="CH17" s="184"/>
      <c r="CI17" s="184"/>
      <c r="CJ17" s="184"/>
      <c r="CK17" s="184"/>
      <c r="CL17" s="184"/>
      <c r="CM17" s="184"/>
      <c r="CN17" s="184"/>
      <c r="CO17" s="184"/>
      <c r="CP17" s="184"/>
      <c r="CQ17" s="184"/>
      <c r="CR17" s="184"/>
      <c r="CS17" s="184"/>
      <c r="CT17" s="184"/>
      <c r="CU17" s="184"/>
      <c r="CV17" s="184"/>
      <c r="CW17" s="184"/>
      <c r="CX17" s="184"/>
      <c r="CY17" s="184"/>
      <c r="CZ17" s="184"/>
      <c r="DA17" s="184"/>
      <c r="DB17" s="184"/>
      <c r="DC17" s="184"/>
      <c r="DD17" s="184"/>
      <c r="DE17" s="184"/>
      <c r="DF17" s="184"/>
      <c r="DG17" s="184"/>
      <c r="DH17" s="184"/>
      <c r="DI17" s="184"/>
      <c r="DJ17" s="184"/>
      <c r="DK17" s="184"/>
      <c r="DL17" s="184"/>
      <c r="DM17" s="184"/>
      <c r="DN17" s="185"/>
      <c r="DO17" s="189"/>
      <c r="DP17" s="190"/>
      <c r="DQ17" s="190"/>
      <c r="DR17" s="190"/>
      <c r="DS17" s="191"/>
    </row>
    <row r="18" spans="47:123" ht="6" customHeight="1" x14ac:dyDescent="0.25">
      <c r="AU18" s="178"/>
      <c r="AV18" s="179"/>
      <c r="AW18" s="179"/>
      <c r="AX18" s="179"/>
      <c r="AY18" s="179"/>
      <c r="AZ18" s="179"/>
      <c r="BA18" s="179"/>
      <c r="BB18" s="179"/>
      <c r="BC18" s="180"/>
      <c r="BD18" s="178"/>
      <c r="BE18" s="179"/>
      <c r="BF18" s="179"/>
      <c r="BG18" s="179"/>
      <c r="BH18" s="179"/>
      <c r="BI18" s="179"/>
      <c r="BJ18" s="179"/>
      <c r="BK18" s="179"/>
      <c r="BL18" s="179"/>
      <c r="BM18" s="101"/>
      <c r="BN18" s="101"/>
      <c r="BO18" s="101"/>
      <c r="BP18" s="101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F18" s="186"/>
      <c r="CG18" s="187"/>
      <c r="CH18" s="187"/>
      <c r="CI18" s="187"/>
      <c r="CJ18" s="187"/>
      <c r="CK18" s="187"/>
      <c r="CL18" s="187"/>
      <c r="CM18" s="187"/>
      <c r="CN18" s="187"/>
      <c r="CO18" s="187"/>
      <c r="CP18" s="187"/>
      <c r="CQ18" s="187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7"/>
      <c r="DK18" s="187"/>
      <c r="DL18" s="187"/>
      <c r="DM18" s="187"/>
      <c r="DN18" s="188"/>
      <c r="DO18" s="192"/>
      <c r="DP18" s="193"/>
      <c r="DQ18" s="193"/>
      <c r="DR18" s="193"/>
      <c r="DS18" s="194"/>
    </row>
    <row r="19" spans="47:123" ht="6" customHeight="1" x14ac:dyDescent="0.25">
      <c r="AU19" s="80" t="s">
        <v>9</v>
      </c>
      <c r="AV19" s="81"/>
      <c r="AW19" s="81"/>
      <c r="AX19" s="81"/>
      <c r="AY19" s="81"/>
      <c r="AZ19" s="81"/>
      <c r="BA19" s="81"/>
      <c r="BB19" s="81"/>
      <c r="BC19" s="81"/>
      <c r="BD19" s="84" t="s">
        <v>10</v>
      </c>
      <c r="BE19" s="84"/>
      <c r="BF19" s="84"/>
      <c r="BG19" s="84"/>
      <c r="BH19" s="84"/>
      <c r="BI19" s="84"/>
      <c r="BJ19" s="84"/>
      <c r="BK19" s="84"/>
      <c r="BL19" s="84"/>
      <c r="BM19" s="73" t="s">
        <v>10</v>
      </c>
      <c r="BN19" s="73"/>
      <c r="BO19" s="73"/>
      <c r="BP19" s="73"/>
      <c r="BQ19" s="73"/>
      <c r="BR19" s="73"/>
      <c r="BS19" s="73"/>
      <c r="BT19" s="73"/>
      <c r="BU19" s="73"/>
      <c r="BV19" s="73" t="s">
        <v>9</v>
      </c>
      <c r="BW19" s="73"/>
      <c r="BX19" s="73"/>
      <c r="BY19" s="73"/>
      <c r="BZ19" s="73"/>
      <c r="CA19" s="73"/>
      <c r="CB19" s="73"/>
      <c r="CC19" s="73"/>
      <c r="CD19" s="78"/>
      <c r="CF19" s="183"/>
      <c r="CG19" s="184"/>
      <c r="CH19" s="184"/>
      <c r="CI19" s="184"/>
      <c r="CJ19" s="184"/>
      <c r="CK19" s="184"/>
      <c r="CL19" s="184"/>
      <c r="CM19" s="184"/>
      <c r="CN19" s="184"/>
      <c r="CO19" s="184"/>
      <c r="CP19" s="184"/>
      <c r="CQ19" s="184"/>
      <c r="CR19" s="184"/>
      <c r="CS19" s="184"/>
      <c r="CT19" s="184"/>
      <c r="CU19" s="184"/>
      <c r="CV19" s="184"/>
      <c r="CW19" s="184"/>
      <c r="CX19" s="184"/>
      <c r="CY19" s="184"/>
      <c r="CZ19" s="184"/>
      <c r="DA19" s="184"/>
      <c r="DB19" s="184"/>
      <c r="DC19" s="184"/>
      <c r="DD19" s="184"/>
      <c r="DE19" s="184"/>
      <c r="DF19" s="184"/>
      <c r="DG19" s="184"/>
      <c r="DH19" s="184"/>
      <c r="DI19" s="184"/>
      <c r="DJ19" s="184"/>
      <c r="DK19" s="184"/>
      <c r="DL19" s="184"/>
      <c r="DM19" s="184"/>
      <c r="DN19" s="185"/>
      <c r="DO19" s="189"/>
      <c r="DP19" s="190"/>
      <c r="DQ19" s="190"/>
      <c r="DR19" s="190"/>
      <c r="DS19" s="191"/>
    </row>
    <row r="20" spans="47:123" ht="6" customHeight="1" x14ac:dyDescent="0.25">
      <c r="AU20" s="82"/>
      <c r="AV20" s="83"/>
      <c r="AW20" s="83"/>
      <c r="AX20" s="83"/>
      <c r="AY20" s="83"/>
      <c r="AZ20" s="83"/>
      <c r="BA20" s="83"/>
      <c r="BB20" s="83"/>
      <c r="BC20" s="83"/>
      <c r="BD20" s="85"/>
      <c r="BE20" s="85"/>
      <c r="BF20" s="85"/>
      <c r="BG20" s="85"/>
      <c r="BH20" s="85"/>
      <c r="BI20" s="85"/>
      <c r="BJ20" s="85"/>
      <c r="BK20" s="85"/>
      <c r="BL20" s="85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9"/>
      <c r="CF20" s="186"/>
      <c r="CG20" s="187"/>
      <c r="CH20" s="187"/>
      <c r="CI20" s="187"/>
      <c r="CJ20" s="187"/>
      <c r="CK20" s="187"/>
      <c r="CL20" s="187"/>
      <c r="CM20" s="187"/>
      <c r="CN20" s="187"/>
      <c r="CO20" s="187"/>
      <c r="CP20" s="187"/>
      <c r="CQ20" s="187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7"/>
      <c r="DK20" s="187"/>
      <c r="DL20" s="187"/>
      <c r="DM20" s="187"/>
      <c r="DN20" s="188"/>
      <c r="DO20" s="192"/>
      <c r="DP20" s="193"/>
      <c r="DQ20" s="193"/>
      <c r="DR20" s="193"/>
      <c r="DS20" s="194"/>
    </row>
    <row r="21" spans="47:123" ht="6" customHeight="1" x14ac:dyDescent="0.25">
      <c r="AU21" s="136" t="s">
        <v>11</v>
      </c>
      <c r="AV21" s="137"/>
      <c r="AW21" s="137"/>
      <c r="AX21" s="137"/>
      <c r="AY21" s="137"/>
      <c r="AZ21" s="137"/>
      <c r="BA21" s="137"/>
      <c r="BB21" s="137"/>
      <c r="BC21" s="137"/>
      <c r="BV21" s="108" t="s">
        <v>12</v>
      </c>
      <c r="BW21" s="109"/>
      <c r="BX21" s="109"/>
      <c r="BY21" s="109"/>
      <c r="BZ21" s="109"/>
      <c r="CA21" s="109"/>
      <c r="CB21" s="109"/>
      <c r="CC21" s="109"/>
      <c r="CD21" s="109"/>
      <c r="CF21" s="183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  <c r="DC21" s="184"/>
      <c r="DD21" s="184"/>
      <c r="DE21" s="184"/>
      <c r="DF21" s="184"/>
      <c r="DG21" s="184"/>
      <c r="DH21" s="184"/>
      <c r="DI21" s="184"/>
      <c r="DJ21" s="184"/>
      <c r="DK21" s="184"/>
      <c r="DL21" s="184"/>
      <c r="DM21" s="184"/>
      <c r="DN21" s="185"/>
      <c r="DO21" s="189"/>
      <c r="DP21" s="190"/>
      <c r="DQ21" s="190"/>
      <c r="DR21" s="190"/>
      <c r="DS21" s="191"/>
    </row>
    <row r="22" spans="47:123" ht="6" customHeight="1" x14ac:dyDescent="0.25">
      <c r="AU22" s="137"/>
      <c r="AV22" s="137"/>
      <c r="AW22" s="137"/>
      <c r="AX22" s="137"/>
      <c r="AY22" s="137"/>
      <c r="AZ22" s="137"/>
      <c r="BA22" s="137"/>
      <c r="BB22" s="137"/>
      <c r="BC22" s="137"/>
      <c r="BD22" s="97" t="s">
        <v>8</v>
      </c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9" t="s">
        <v>19</v>
      </c>
      <c r="BQ22" s="100"/>
      <c r="BR22" s="118">
        <f>2*(ROUNDUP(MAX(AU7,BZ7),0)+1)</f>
        <v>2</v>
      </c>
      <c r="BS22" s="118"/>
      <c r="BT22" s="118"/>
      <c r="BU22" s="118"/>
      <c r="BV22" s="109"/>
      <c r="BW22" s="109"/>
      <c r="BX22" s="109"/>
      <c r="BY22" s="109"/>
      <c r="BZ22" s="109"/>
      <c r="CA22" s="109"/>
      <c r="CB22" s="109"/>
      <c r="CC22" s="109"/>
      <c r="CD22" s="109"/>
      <c r="CF22" s="186"/>
      <c r="CG22" s="187"/>
      <c r="CH22" s="187"/>
      <c r="CI22" s="187"/>
      <c r="CJ22" s="187"/>
      <c r="CK22" s="187"/>
      <c r="CL22" s="187"/>
      <c r="CM22" s="187"/>
      <c r="CN22" s="187"/>
      <c r="CO22" s="187"/>
      <c r="CP22" s="187"/>
      <c r="CQ22" s="187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7"/>
      <c r="DK22" s="187"/>
      <c r="DL22" s="187"/>
      <c r="DM22" s="187"/>
      <c r="DN22" s="188"/>
      <c r="DO22" s="192"/>
      <c r="DP22" s="193"/>
      <c r="DQ22" s="193"/>
      <c r="DR22" s="193"/>
      <c r="DS22" s="194"/>
    </row>
    <row r="23" spans="47:123" ht="6" customHeight="1" x14ac:dyDescent="0.25">
      <c r="AU23" s="137"/>
      <c r="AV23" s="137"/>
      <c r="AW23" s="137"/>
      <c r="AX23" s="137"/>
      <c r="AY23" s="137"/>
      <c r="AZ23" s="137"/>
      <c r="BA23" s="137"/>
      <c r="BB23" s="137"/>
      <c r="BC23" s="13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9"/>
      <c r="BQ23" s="100"/>
      <c r="BR23" s="118"/>
      <c r="BS23" s="118"/>
      <c r="BT23" s="118"/>
      <c r="BU23" s="118"/>
      <c r="BV23" s="109"/>
      <c r="BW23" s="109"/>
      <c r="BX23" s="109"/>
      <c r="BY23" s="109"/>
      <c r="BZ23" s="109"/>
      <c r="CA23" s="109"/>
      <c r="CB23" s="109"/>
      <c r="CC23" s="109"/>
      <c r="CD23" s="109"/>
      <c r="CF23" s="183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  <c r="DC23" s="184"/>
      <c r="DD23" s="184"/>
      <c r="DE23" s="184"/>
      <c r="DF23" s="184"/>
      <c r="DG23" s="184"/>
      <c r="DH23" s="184"/>
      <c r="DI23" s="184"/>
      <c r="DJ23" s="184"/>
      <c r="DK23" s="184"/>
      <c r="DL23" s="184"/>
      <c r="DM23" s="184"/>
      <c r="DN23" s="185"/>
      <c r="DO23" s="189"/>
      <c r="DP23" s="190"/>
      <c r="DQ23" s="190"/>
      <c r="DR23" s="190"/>
      <c r="DS23" s="191"/>
    </row>
    <row r="24" spans="47:123" ht="6" customHeight="1" x14ac:dyDescent="0.25">
      <c r="AU24" s="137"/>
      <c r="AV24" s="137"/>
      <c r="AW24" s="137"/>
      <c r="AX24" s="137"/>
      <c r="AY24" s="137"/>
      <c r="AZ24" s="137"/>
      <c r="BA24" s="137"/>
      <c r="BB24" s="137"/>
      <c r="BC24" s="137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100"/>
      <c r="BQ24" s="100"/>
      <c r="BR24" s="118"/>
      <c r="BS24" s="118"/>
      <c r="BT24" s="118"/>
      <c r="BU24" s="118"/>
      <c r="BV24" s="109"/>
      <c r="BW24" s="109"/>
      <c r="BX24" s="109"/>
      <c r="BY24" s="109"/>
      <c r="BZ24" s="109"/>
      <c r="CA24" s="109"/>
      <c r="CB24" s="109"/>
      <c r="CC24" s="109"/>
      <c r="CD24" s="109"/>
      <c r="CF24" s="186"/>
      <c r="CG24" s="187"/>
      <c r="CH24" s="187"/>
      <c r="CI24" s="187"/>
      <c r="CJ24" s="187"/>
      <c r="CK24" s="187"/>
      <c r="CL24" s="187"/>
      <c r="CM24" s="187"/>
      <c r="CN24" s="187"/>
      <c r="CO24" s="187"/>
      <c r="CP24" s="187"/>
      <c r="CQ24" s="187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7"/>
      <c r="DK24" s="187"/>
      <c r="DL24" s="187"/>
      <c r="DM24" s="187"/>
      <c r="DN24" s="188"/>
      <c r="DO24" s="192"/>
      <c r="DP24" s="193"/>
      <c r="DQ24" s="193"/>
      <c r="DR24" s="193"/>
      <c r="DS24" s="194"/>
    </row>
    <row r="25" spans="47:123" ht="6" customHeight="1" x14ac:dyDescent="0.25">
      <c r="AU25" s="137"/>
      <c r="AV25" s="137"/>
      <c r="AW25" s="137"/>
      <c r="AX25" s="137"/>
      <c r="AY25" s="137"/>
      <c r="AZ25" s="137"/>
      <c r="BA25" s="137"/>
      <c r="BB25" s="137"/>
      <c r="BC25" s="137"/>
      <c r="BD25" s="101"/>
      <c r="BE25" s="101"/>
      <c r="BF25" s="101"/>
      <c r="BG25" s="101"/>
      <c r="BH25" s="101"/>
      <c r="BI25" s="101"/>
      <c r="BJ25" s="101"/>
      <c r="BK25" s="101"/>
      <c r="BL25" s="101"/>
      <c r="BM25" s="101"/>
      <c r="BN25" s="101"/>
      <c r="BO25" s="101"/>
      <c r="BP25" s="101"/>
      <c r="BQ25" s="101"/>
      <c r="BR25" s="101"/>
      <c r="BS25" s="101"/>
      <c r="BT25" s="101"/>
      <c r="BU25" s="101"/>
      <c r="BV25" s="109"/>
      <c r="BW25" s="109"/>
      <c r="BX25" s="109"/>
      <c r="BY25" s="109"/>
      <c r="BZ25" s="109"/>
      <c r="CA25" s="109"/>
      <c r="CB25" s="109"/>
      <c r="CC25" s="109"/>
      <c r="CD25" s="109"/>
      <c r="CF25" s="183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  <c r="DC25" s="184"/>
      <c r="DD25" s="184"/>
      <c r="DE25" s="184"/>
      <c r="DF25" s="184"/>
      <c r="DG25" s="184"/>
      <c r="DH25" s="184"/>
      <c r="DI25" s="184"/>
      <c r="DJ25" s="184"/>
      <c r="DK25" s="184"/>
      <c r="DL25" s="184"/>
      <c r="DM25" s="184"/>
      <c r="DN25" s="185"/>
      <c r="DO25" s="189"/>
      <c r="DP25" s="190"/>
      <c r="DQ25" s="190"/>
      <c r="DR25" s="190"/>
      <c r="DS25" s="191"/>
    </row>
    <row r="26" spans="47:123" ht="6" customHeight="1" x14ac:dyDescent="0.25">
      <c r="AU26" s="137"/>
      <c r="AV26" s="137"/>
      <c r="AW26" s="137"/>
      <c r="AX26" s="137"/>
      <c r="AY26" s="137"/>
      <c r="AZ26" s="137"/>
      <c r="BA26" s="137"/>
      <c r="BB26" s="137"/>
      <c r="BC26" s="137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9"/>
      <c r="BW26" s="109"/>
      <c r="BX26" s="109"/>
      <c r="BY26" s="109"/>
      <c r="BZ26" s="109"/>
      <c r="CA26" s="109"/>
      <c r="CB26" s="109"/>
      <c r="CC26" s="109"/>
      <c r="CD26" s="109"/>
      <c r="CF26" s="186"/>
      <c r="CG26" s="187"/>
      <c r="CH26" s="187"/>
      <c r="CI26" s="187"/>
      <c r="CJ26" s="187"/>
      <c r="CK26" s="187"/>
      <c r="CL26" s="187"/>
      <c r="CM26" s="187"/>
      <c r="CN26" s="187"/>
      <c r="CO26" s="187"/>
      <c r="CP26" s="187"/>
      <c r="CQ26" s="187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7"/>
      <c r="DK26" s="187"/>
      <c r="DL26" s="187"/>
      <c r="DM26" s="187"/>
      <c r="DN26" s="188"/>
      <c r="DO26" s="192"/>
      <c r="DP26" s="193"/>
      <c r="DQ26" s="193"/>
      <c r="DR26" s="193"/>
      <c r="DS26" s="194"/>
    </row>
    <row r="27" spans="47:123" ht="6" customHeight="1" x14ac:dyDescent="0.25">
      <c r="AU27" s="116" t="s">
        <v>12</v>
      </c>
      <c r="AV27" s="117"/>
      <c r="AW27" s="117"/>
      <c r="AX27" s="117"/>
      <c r="AY27" s="117"/>
      <c r="AZ27" s="117"/>
      <c r="BA27" s="117"/>
      <c r="BB27" s="117"/>
      <c r="BC27" s="117"/>
      <c r="BD27" s="101"/>
      <c r="BE27" s="101"/>
      <c r="BF27" s="101"/>
      <c r="BG27" s="101"/>
      <c r="BH27" s="101"/>
      <c r="BI27" s="101"/>
      <c r="BJ27" s="101"/>
      <c r="BK27" s="101"/>
      <c r="BL27" s="101"/>
      <c r="BM27" s="101"/>
      <c r="BN27" s="101"/>
      <c r="BO27" s="101"/>
      <c r="BP27" s="101"/>
      <c r="BQ27" s="101"/>
      <c r="BR27" s="101"/>
      <c r="BS27" s="101"/>
      <c r="BT27" s="101"/>
      <c r="BU27" s="101"/>
      <c r="BV27" s="108" t="s">
        <v>11</v>
      </c>
      <c r="BW27" s="109"/>
      <c r="BX27" s="109"/>
      <c r="BY27" s="109"/>
      <c r="BZ27" s="109"/>
      <c r="CA27" s="109"/>
      <c r="CB27" s="109"/>
      <c r="CC27" s="109"/>
      <c r="CD27" s="109"/>
      <c r="CF27" s="183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  <c r="DC27" s="184"/>
      <c r="DD27" s="184"/>
      <c r="DE27" s="184"/>
      <c r="DF27" s="184"/>
      <c r="DG27" s="184"/>
      <c r="DH27" s="184"/>
      <c r="DI27" s="184"/>
      <c r="DJ27" s="184"/>
      <c r="DK27" s="184"/>
      <c r="DL27" s="184"/>
      <c r="DM27" s="184"/>
      <c r="DN27" s="185"/>
      <c r="DO27" s="189"/>
      <c r="DP27" s="190"/>
      <c r="DQ27" s="190"/>
      <c r="DR27" s="190"/>
      <c r="DS27" s="191"/>
    </row>
    <row r="28" spans="47:123" ht="6" customHeight="1" x14ac:dyDescent="0.25">
      <c r="AU28" s="117"/>
      <c r="AV28" s="117"/>
      <c r="AW28" s="117"/>
      <c r="AX28" s="117"/>
      <c r="AY28" s="117"/>
      <c r="AZ28" s="117"/>
      <c r="BA28" s="117"/>
      <c r="BB28" s="117"/>
      <c r="BC28" s="117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1"/>
      <c r="BV28" s="109"/>
      <c r="BW28" s="109"/>
      <c r="BX28" s="109"/>
      <c r="BY28" s="109"/>
      <c r="BZ28" s="109"/>
      <c r="CA28" s="109"/>
      <c r="CB28" s="109"/>
      <c r="CC28" s="109"/>
      <c r="CD28" s="109"/>
      <c r="CF28" s="186"/>
      <c r="CG28" s="187"/>
      <c r="CH28" s="187"/>
      <c r="CI28" s="187"/>
      <c r="CJ28" s="187"/>
      <c r="CK28" s="187"/>
      <c r="CL28" s="187"/>
      <c r="CM28" s="187"/>
      <c r="CN28" s="187"/>
      <c r="CO28" s="187"/>
      <c r="CP28" s="187"/>
      <c r="CQ28" s="187"/>
      <c r="CR28" s="187"/>
      <c r="CS28" s="187"/>
      <c r="CT28" s="187"/>
      <c r="CU28" s="187"/>
      <c r="CV28" s="187"/>
      <c r="CW28" s="187"/>
      <c r="CX28" s="187"/>
      <c r="CY28" s="187"/>
      <c r="CZ28" s="187"/>
      <c r="DA28" s="187"/>
      <c r="DB28" s="187"/>
      <c r="DC28" s="187"/>
      <c r="DD28" s="187"/>
      <c r="DE28" s="187"/>
      <c r="DF28" s="187"/>
      <c r="DG28" s="187"/>
      <c r="DH28" s="187"/>
      <c r="DI28" s="187"/>
      <c r="DJ28" s="187"/>
      <c r="DK28" s="187"/>
      <c r="DL28" s="187"/>
      <c r="DM28" s="187"/>
      <c r="DN28" s="188"/>
      <c r="DO28" s="192"/>
      <c r="DP28" s="193"/>
      <c r="DQ28" s="193"/>
      <c r="DR28" s="193"/>
      <c r="DS28" s="194"/>
    </row>
    <row r="29" spans="47:123" ht="6" customHeight="1" x14ac:dyDescent="0.25">
      <c r="AU29" s="117"/>
      <c r="AV29" s="117"/>
      <c r="AW29" s="117"/>
      <c r="AX29" s="117"/>
      <c r="AY29" s="117"/>
      <c r="AZ29" s="117"/>
      <c r="BA29" s="117"/>
      <c r="BB29" s="117"/>
      <c r="BC29" s="117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101"/>
      <c r="BU29" s="101"/>
      <c r="BV29" s="109"/>
      <c r="BW29" s="109"/>
      <c r="BX29" s="109"/>
      <c r="BY29" s="109"/>
      <c r="BZ29" s="109"/>
      <c r="CA29" s="109"/>
      <c r="CB29" s="109"/>
      <c r="CC29" s="109"/>
      <c r="CD29" s="109"/>
      <c r="CF29" s="183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  <c r="DC29" s="184"/>
      <c r="DD29" s="184"/>
      <c r="DE29" s="184"/>
      <c r="DF29" s="184"/>
      <c r="DG29" s="184"/>
      <c r="DH29" s="184"/>
      <c r="DI29" s="184"/>
      <c r="DJ29" s="184"/>
      <c r="DK29" s="184"/>
      <c r="DL29" s="184"/>
      <c r="DM29" s="184"/>
      <c r="DN29" s="185"/>
      <c r="DO29" s="189"/>
      <c r="DP29" s="190"/>
      <c r="DQ29" s="190"/>
      <c r="DR29" s="190"/>
      <c r="DS29" s="191"/>
    </row>
    <row r="30" spans="47:123" ht="6" customHeight="1" x14ac:dyDescent="0.25">
      <c r="AU30" s="117"/>
      <c r="AV30" s="117"/>
      <c r="AW30" s="117"/>
      <c r="AX30" s="117"/>
      <c r="AY30" s="117"/>
      <c r="AZ30" s="117"/>
      <c r="BA30" s="117"/>
      <c r="BB30" s="117"/>
      <c r="BC30" s="117"/>
      <c r="BD30" s="110" t="s">
        <v>9</v>
      </c>
      <c r="BE30" s="111"/>
      <c r="BF30" s="111"/>
      <c r="BG30" s="111"/>
      <c r="BH30" s="111"/>
      <c r="BI30" s="111"/>
      <c r="BJ30" s="111"/>
      <c r="BK30" s="111"/>
      <c r="BL30" s="112"/>
      <c r="BM30" s="110" t="s">
        <v>10</v>
      </c>
      <c r="BN30" s="111"/>
      <c r="BO30" s="111"/>
      <c r="BP30" s="111"/>
      <c r="BQ30" s="111"/>
      <c r="BR30" s="111"/>
      <c r="BS30" s="111"/>
      <c r="BT30" s="111"/>
      <c r="BU30" s="112"/>
      <c r="BV30" s="109"/>
      <c r="BW30" s="109"/>
      <c r="BX30" s="109"/>
      <c r="BY30" s="109"/>
      <c r="BZ30" s="109"/>
      <c r="CA30" s="109"/>
      <c r="CB30" s="109"/>
      <c r="CC30" s="109"/>
      <c r="CD30" s="109"/>
      <c r="CF30" s="186"/>
      <c r="CG30" s="187"/>
      <c r="CH30" s="187"/>
      <c r="CI30" s="187"/>
      <c r="CJ30" s="187"/>
      <c r="CK30" s="187"/>
      <c r="CL30" s="187"/>
      <c r="CM30" s="187"/>
      <c r="CN30" s="187"/>
      <c r="CO30" s="187"/>
      <c r="CP30" s="187"/>
      <c r="CQ30" s="187"/>
      <c r="CR30" s="187"/>
      <c r="CS30" s="187"/>
      <c r="CT30" s="187"/>
      <c r="CU30" s="187"/>
      <c r="CV30" s="187"/>
      <c r="CW30" s="187"/>
      <c r="CX30" s="187"/>
      <c r="CY30" s="187"/>
      <c r="CZ30" s="187"/>
      <c r="DA30" s="187"/>
      <c r="DB30" s="187"/>
      <c r="DC30" s="187"/>
      <c r="DD30" s="187"/>
      <c r="DE30" s="187"/>
      <c r="DF30" s="187"/>
      <c r="DG30" s="187"/>
      <c r="DH30" s="187"/>
      <c r="DI30" s="187"/>
      <c r="DJ30" s="187"/>
      <c r="DK30" s="187"/>
      <c r="DL30" s="187"/>
      <c r="DM30" s="187"/>
      <c r="DN30" s="188"/>
      <c r="DO30" s="192"/>
      <c r="DP30" s="193"/>
      <c r="DQ30" s="193"/>
      <c r="DR30" s="193"/>
      <c r="DS30" s="194"/>
    </row>
    <row r="31" spans="47:123" ht="6" customHeight="1" x14ac:dyDescent="0.25">
      <c r="AU31" s="117"/>
      <c r="AV31" s="117"/>
      <c r="AW31" s="117"/>
      <c r="AX31" s="117"/>
      <c r="AY31" s="117"/>
      <c r="AZ31" s="117"/>
      <c r="BA31" s="117"/>
      <c r="BB31" s="117"/>
      <c r="BC31" s="117"/>
      <c r="BD31" s="113"/>
      <c r="BE31" s="114"/>
      <c r="BF31" s="114"/>
      <c r="BG31" s="114"/>
      <c r="BH31" s="114"/>
      <c r="BI31" s="114"/>
      <c r="BJ31" s="114"/>
      <c r="BK31" s="114"/>
      <c r="BL31" s="115"/>
      <c r="BM31" s="113"/>
      <c r="BN31" s="114"/>
      <c r="BO31" s="114"/>
      <c r="BP31" s="114"/>
      <c r="BQ31" s="114"/>
      <c r="BR31" s="114"/>
      <c r="BS31" s="114"/>
      <c r="BT31" s="114"/>
      <c r="BU31" s="115"/>
      <c r="BV31" s="109"/>
      <c r="BW31" s="109"/>
      <c r="BX31" s="109"/>
      <c r="BY31" s="109"/>
      <c r="BZ31" s="109"/>
      <c r="CA31" s="109"/>
      <c r="CB31" s="109"/>
      <c r="CC31" s="109"/>
      <c r="CD31" s="109"/>
      <c r="CF31" s="183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  <c r="DC31" s="184"/>
      <c r="DD31" s="184"/>
      <c r="DE31" s="184"/>
      <c r="DF31" s="184"/>
      <c r="DG31" s="184"/>
      <c r="DH31" s="184"/>
      <c r="DI31" s="184"/>
      <c r="DJ31" s="184"/>
      <c r="DK31" s="184"/>
      <c r="DL31" s="184"/>
      <c r="DM31" s="184"/>
      <c r="DN31" s="185"/>
      <c r="DO31" s="189"/>
      <c r="DP31" s="190"/>
      <c r="DQ31" s="190"/>
      <c r="DR31" s="190"/>
      <c r="DS31" s="191"/>
    </row>
    <row r="32" spans="47:123" ht="6" customHeight="1" x14ac:dyDescent="0.25">
      <c r="AU32" s="117"/>
      <c r="AV32" s="117"/>
      <c r="AW32" s="117"/>
      <c r="AX32" s="117"/>
      <c r="AY32" s="117"/>
      <c r="AZ32" s="117"/>
      <c r="BA32" s="117"/>
      <c r="BB32" s="117"/>
      <c r="BC32" s="117"/>
      <c r="BV32" s="109"/>
      <c r="BW32" s="109"/>
      <c r="BX32" s="109"/>
      <c r="BY32" s="109"/>
      <c r="BZ32" s="109"/>
      <c r="CA32" s="109"/>
      <c r="CB32" s="109"/>
      <c r="CC32" s="109"/>
      <c r="CD32" s="109"/>
      <c r="CF32" s="186"/>
      <c r="CG32" s="187"/>
      <c r="CH32" s="187"/>
      <c r="CI32" s="187"/>
      <c r="CJ32" s="187"/>
      <c r="CK32" s="187"/>
      <c r="CL32" s="187"/>
      <c r="CM32" s="187"/>
      <c r="CN32" s="187"/>
      <c r="CO32" s="187"/>
      <c r="CP32" s="187"/>
      <c r="CQ32" s="187"/>
      <c r="CR32" s="187"/>
      <c r="CS32" s="187"/>
      <c r="CT32" s="187"/>
      <c r="CU32" s="187"/>
      <c r="CV32" s="187"/>
      <c r="CW32" s="187"/>
      <c r="CX32" s="187"/>
      <c r="CY32" s="187"/>
      <c r="CZ32" s="187"/>
      <c r="DA32" s="187"/>
      <c r="DB32" s="187"/>
      <c r="DC32" s="187"/>
      <c r="DD32" s="187"/>
      <c r="DE32" s="187"/>
      <c r="DF32" s="187"/>
      <c r="DG32" s="187"/>
      <c r="DH32" s="187"/>
      <c r="DI32" s="187"/>
      <c r="DJ32" s="187"/>
      <c r="DK32" s="187"/>
      <c r="DL32" s="187"/>
      <c r="DM32" s="187"/>
      <c r="DN32" s="188"/>
      <c r="DO32" s="192"/>
      <c r="DP32" s="193"/>
      <c r="DQ32" s="193"/>
      <c r="DR32" s="193"/>
      <c r="DS32" s="194"/>
    </row>
    <row r="33" spans="47:123" ht="6" customHeight="1" x14ac:dyDescent="0.25">
      <c r="AU33" s="75" t="s">
        <v>13</v>
      </c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86" t="s">
        <v>19</v>
      </c>
      <c r="BH33" s="87"/>
      <c r="BI33" s="118">
        <f>AU7+3</f>
        <v>3</v>
      </c>
      <c r="BJ33" s="118"/>
      <c r="BK33" s="118"/>
      <c r="BL33" s="118"/>
      <c r="BM33" s="142" t="s">
        <v>14</v>
      </c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3" t="s">
        <v>19</v>
      </c>
      <c r="BZ33" s="143"/>
      <c r="CA33" s="118">
        <f>BZ7+3</f>
        <v>3</v>
      </c>
      <c r="CB33" s="118"/>
      <c r="CC33" s="118"/>
      <c r="CD33" s="118"/>
      <c r="CF33" s="183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84"/>
      <c r="CZ33" s="184"/>
      <c r="DA33" s="184"/>
      <c r="DB33" s="184"/>
      <c r="DC33" s="184"/>
      <c r="DD33" s="184"/>
      <c r="DE33" s="184"/>
      <c r="DF33" s="184"/>
      <c r="DG33" s="184"/>
      <c r="DH33" s="184"/>
      <c r="DI33" s="184"/>
      <c r="DJ33" s="184"/>
      <c r="DK33" s="184"/>
      <c r="DL33" s="184"/>
      <c r="DM33" s="184"/>
      <c r="DN33" s="185"/>
      <c r="DO33" s="189"/>
      <c r="DP33" s="190"/>
      <c r="DQ33" s="190"/>
      <c r="DR33" s="190"/>
      <c r="DS33" s="191"/>
    </row>
    <row r="34" spans="47:123" ht="6" customHeight="1" x14ac:dyDescent="0.25"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86"/>
      <c r="BH34" s="87"/>
      <c r="BI34" s="118"/>
      <c r="BJ34" s="118"/>
      <c r="BK34" s="118"/>
      <c r="BL34" s="118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144"/>
      <c r="BZ34" s="144"/>
      <c r="CA34" s="118"/>
      <c r="CB34" s="118"/>
      <c r="CC34" s="118"/>
      <c r="CD34" s="118"/>
      <c r="CF34" s="186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187"/>
      <c r="DB34" s="187"/>
      <c r="DC34" s="187"/>
      <c r="DD34" s="187"/>
      <c r="DE34" s="187"/>
      <c r="DF34" s="187"/>
      <c r="DG34" s="187"/>
      <c r="DH34" s="187"/>
      <c r="DI34" s="187"/>
      <c r="DJ34" s="187"/>
      <c r="DK34" s="187"/>
      <c r="DL34" s="187"/>
      <c r="DM34" s="187"/>
      <c r="DN34" s="188"/>
      <c r="DO34" s="192"/>
      <c r="DP34" s="193"/>
      <c r="DQ34" s="193"/>
      <c r="DR34" s="193"/>
      <c r="DS34" s="194"/>
    </row>
    <row r="35" spans="47:123" ht="6" customHeight="1" x14ac:dyDescent="0.25"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87"/>
      <c r="BH35" s="87"/>
      <c r="BI35" s="118"/>
      <c r="BJ35" s="118"/>
      <c r="BK35" s="118"/>
      <c r="BL35" s="118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144"/>
      <c r="BZ35" s="144"/>
      <c r="CA35" s="118"/>
      <c r="CB35" s="118"/>
      <c r="CC35" s="118"/>
      <c r="CD35" s="118"/>
      <c r="CF35" s="183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84"/>
      <c r="CZ35" s="184"/>
      <c r="DA35" s="184"/>
      <c r="DB35" s="184"/>
      <c r="DC35" s="184"/>
      <c r="DD35" s="184"/>
      <c r="DE35" s="184"/>
      <c r="DF35" s="184"/>
      <c r="DG35" s="184"/>
      <c r="DH35" s="184"/>
      <c r="DI35" s="184"/>
      <c r="DJ35" s="184"/>
      <c r="DK35" s="184"/>
      <c r="DL35" s="184"/>
      <c r="DM35" s="184"/>
      <c r="DN35" s="185"/>
      <c r="DO35" s="189"/>
      <c r="DP35" s="190"/>
      <c r="DQ35" s="190"/>
      <c r="DR35" s="190"/>
      <c r="DS35" s="191"/>
    </row>
    <row r="36" spans="47:123" ht="6" customHeight="1" x14ac:dyDescent="0.25"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F36" s="186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187"/>
      <c r="DB36" s="187"/>
      <c r="DC36" s="187"/>
      <c r="DD36" s="187"/>
      <c r="DE36" s="187"/>
      <c r="DF36" s="187"/>
      <c r="DG36" s="187"/>
      <c r="DH36" s="187"/>
      <c r="DI36" s="187"/>
      <c r="DJ36" s="187"/>
      <c r="DK36" s="187"/>
      <c r="DL36" s="187"/>
      <c r="DM36" s="187"/>
      <c r="DN36" s="188"/>
      <c r="DO36" s="192"/>
      <c r="DP36" s="193"/>
      <c r="DQ36" s="193"/>
      <c r="DR36" s="193"/>
      <c r="DS36" s="194"/>
    </row>
    <row r="37" spans="47:123" ht="6" customHeight="1" x14ac:dyDescent="0.25"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  <c r="BS37" s="101"/>
      <c r="BT37" s="101"/>
      <c r="BU37" s="101"/>
      <c r="BV37" s="101"/>
      <c r="BW37" s="101"/>
      <c r="BX37" s="101"/>
      <c r="BY37" s="101"/>
      <c r="BZ37" s="101"/>
      <c r="CA37" s="101"/>
      <c r="CB37" s="101"/>
      <c r="CC37" s="101"/>
      <c r="CD37" s="101"/>
    </row>
    <row r="38" spans="47:123" ht="6" customHeight="1" x14ac:dyDescent="0.25">
      <c r="AU38" s="101"/>
      <c r="AV38" s="101"/>
      <c r="AW38" s="101"/>
      <c r="AX38" s="101"/>
      <c r="AY38" s="101"/>
      <c r="AZ38" s="101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1"/>
      <c r="BX38" s="101"/>
      <c r="BY38" s="101"/>
      <c r="BZ38" s="101"/>
      <c r="CA38" s="101"/>
      <c r="CB38" s="101"/>
      <c r="CC38" s="101"/>
      <c r="CD38" s="101"/>
    </row>
    <row r="39" spans="47:123" ht="6" customHeight="1" x14ac:dyDescent="0.25">
      <c r="AU39" s="101"/>
      <c r="AV39" s="101"/>
      <c r="AW39" s="101"/>
      <c r="AX39" s="101"/>
      <c r="AY39" s="101"/>
      <c r="AZ39" s="101"/>
      <c r="BA39" s="101"/>
      <c r="BB39" s="101"/>
      <c r="BC39" s="101"/>
      <c r="BD39" s="101"/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1"/>
      <c r="BP39" s="101"/>
      <c r="BQ39" s="101"/>
      <c r="BR39" s="101"/>
      <c r="BS39" s="101"/>
      <c r="BT39" s="101"/>
      <c r="BU39" s="101"/>
      <c r="BV39" s="101"/>
      <c r="BW39" s="101"/>
      <c r="BX39" s="101"/>
      <c r="BY39" s="101"/>
      <c r="BZ39" s="101"/>
      <c r="CA39" s="101"/>
      <c r="CB39" s="101"/>
      <c r="CC39" s="101"/>
      <c r="CD39" s="101"/>
    </row>
    <row r="40" spans="47:123" ht="6" customHeight="1" x14ac:dyDescent="0.25">
      <c r="AU40" s="101"/>
      <c r="AV40" s="101"/>
      <c r="AW40" s="101"/>
      <c r="AX40" s="101"/>
      <c r="AY40" s="101"/>
      <c r="AZ40" s="101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1"/>
      <c r="BX40" s="101"/>
      <c r="BY40" s="101"/>
      <c r="BZ40" s="101"/>
      <c r="CA40" s="101"/>
      <c r="CB40" s="101"/>
      <c r="CC40" s="101"/>
      <c r="CD40" s="101"/>
    </row>
    <row r="41" spans="47:123" ht="6" customHeight="1" x14ac:dyDescent="0.25">
      <c r="AU41" s="138" t="s">
        <v>9</v>
      </c>
      <c r="AV41" s="139"/>
      <c r="AW41" s="139"/>
      <c r="AX41" s="139"/>
      <c r="AY41" s="139"/>
      <c r="AZ41" s="139"/>
      <c r="BA41" s="139"/>
      <c r="BB41" s="139"/>
      <c r="BC41" s="139"/>
      <c r="BD41" s="139" t="s">
        <v>10</v>
      </c>
      <c r="BE41" s="139"/>
      <c r="BF41" s="139"/>
      <c r="BG41" s="139"/>
      <c r="BH41" s="139"/>
      <c r="BI41" s="139"/>
      <c r="BJ41" s="139"/>
      <c r="BK41" s="139"/>
      <c r="BL41" s="139"/>
      <c r="BM41" s="73" t="s">
        <v>10</v>
      </c>
      <c r="BN41" s="73"/>
      <c r="BO41" s="73"/>
      <c r="BP41" s="73"/>
      <c r="BQ41" s="73"/>
      <c r="BR41" s="73"/>
      <c r="BS41" s="73"/>
      <c r="BT41" s="73"/>
      <c r="BU41" s="73"/>
      <c r="BV41" s="73" t="s">
        <v>9</v>
      </c>
      <c r="BW41" s="73"/>
      <c r="BX41" s="73"/>
      <c r="BY41" s="73"/>
      <c r="BZ41" s="73"/>
      <c r="CA41" s="73"/>
      <c r="CB41" s="73"/>
      <c r="CC41" s="73"/>
      <c r="CD41" s="78"/>
    </row>
    <row r="42" spans="47:123" ht="6" customHeight="1" x14ac:dyDescent="0.25">
      <c r="AU42" s="82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9"/>
    </row>
    <row r="44" spans="47:123" ht="6" customHeight="1" x14ac:dyDescent="0.25">
      <c r="AU44" s="132" t="s">
        <v>43</v>
      </c>
      <c r="AV44" s="132"/>
      <c r="AW44" s="132"/>
      <c r="AX44" s="132"/>
      <c r="AY44" s="132"/>
      <c r="AZ44" s="132"/>
      <c r="BA44" s="132"/>
      <c r="BB44" s="132"/>
      <c r="BC44" s="132"/>
      <c r="BD44" s="132"/>
      <c r="BE44" s="132"/>
      <c r="BF44" s="132"/>
      <c r="BG44" s="134" t="s">
        <v>19</v>
      </c>
      <c r="BH44" s="135"/>
      <c r="BI44" s="118"/>
      <c r="BJ44" s="118"/>
      <c r="BK44" s="118"/>
      <c r="BL44" s="118"/>
      <c r="BM44" s="89" t="s">
        <v>44</v>
      </c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</row>
    <row r="45" spans="47:123" ht="6" customHeight="1" x14ac:dyDescent="0.25"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4"/>
      <c r="BH45" s="135"/>
      <c r="BI45" s="118"/>
      <c r="BJ45" s="118"/>
      <c r="BK45" s="118"/>
      <c r="BL45" s="118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</row>
    <row r="46" spans="47:123" ht="6" customHeight="1" x14ac:dyDescent="0.25"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5"/>
      <c r="BH46" s="135"/>
      <c r="BI46" s="118"/>
      <c r="BJ46" s="118"/>
      <c r="BK46" s="118"/>
      <c r="BL46" s="118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</row>
    <row r="47" spans="47:123" ht="6" customHeight="1" x14ac:dyDescent="0.25">
      <c r="AU47" s="101"/>
      <c r="AV47" s="101"/>
      <c r="AW47" s="101"/>
      <c r="AX47" s="101"/>
      <c r="AY47" s="101"/>
      <c r="AZ47" s="101"/>
      <c r="BA47" s="101"/>
      <c r="BB47" s="101"/>
      <c r="BC47" s="101"/>
      <c r="BD47" s="101"/>
      <c r="BE47" s="101"/>
      <c r="BF47" s="101"/>
      <c r="BG47" s="101"/>
      <c r="BH47" s="101"/>
      <c r="BI47" s="101"/>
      <c r="BJ47" s="101"/>
      <c r="BK47" s="101"/>
      <c r="BL47" s="101"/>
      <c r="BM47" s="140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</row>
    <row r="48" spans="47:123" ht="6" customHeight="1" x14ac:dyDescent="0.25"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</row>
    <row r="49" spans="47:83" ht="6" customHeight="1" x14ac:dyDescent="0.25">
      <c r="AU49" s="101"/>
      <c r="AV49" s="101"/>
      <c r="AW49" s="101"/>
      <c r="AX49" s="101"/>
      <c r="AY49" s="101"/>
      <c r="AZ49" s="101"/>
      <c r="BA49" s="101"/>
      <c r="BB49" s="101"/>
      <c r="BC49" s="101"/>
      <c r="BD49" s="101"/>
      <c r="BE49" s="101"/>
      <c r="BF49" s="101"/>
      <c r="BG49" s="101"/>
      <c r="BH49" s="101"/>
      <c r="BI49" s="101"/>
      <c r="BJ49" s="101"/>
      <c r="BK49" s="101"/>
      <c r="BL49" s="101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</row>
    <row r="50" spans="47:83" ht="6" customHeight="1" x14ac:dyDescent="0.25"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</row>
    <row r="51" spans="47:83" ht="6" customHeight="1" x14ac:dyDescent="0.25"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</row>
    <row r="52" spans="47:83" ht="6" customHeight="1" x14ac:dyDescent="0.25">
      <c r="AU52" s="128" t="s">
        <v>45</v>
      </c>
      <c r="AV52" s="129"/>
      <c r="AW52" s="129"/>
      <c r="AX52" s="129"/>
      <c r="AY52" s="129"/>
      <c r="AZ52" s="129"/>
      <c r="BA52" s="129"/>
      <c r="BB52" s="129"/>
      <c r="BC52" s="129"/>
      <c r="BD52" s="129" t="s">
        <v>46</v>
      </c>
      <c r="BE52" s="129"/>
      <c r="BF52" s="129"/>
      <c r="BG52" s="129"/>
      <c r="BH52" s="129"/>
      <c r="BI52" s="129"/>
      <c r="BJ52" s="129"/>
      <c r="BK52" s="129"/>
      <c r="BL52" s="129"/>
      <c r="BM52" s="91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  <c r="CB52" s="92"/>
      <c r="CC52" s="92"/>
      <c r="CD52" s="93"/>
    </row>
    <row r="53" spans="47:83" ht="6" customHeight="1" x14ac:dyDescent="0.25">
      <c r="AU53" s="130"/>
      <c r="AV53" s="131"/>
      <c r="AW53" s="131"/>
      <c r="AX53" s="131"/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94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6"/>
    </row>
    <row r="55" spans="47:83" ht="6" customHeight="1" x14ac:dyDescent="0.25">
      <c r="AU55" s="127" t="s">
        <v>25</v>
      </c>
      <c r="AV55" s="127"/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  <c r="BN55" s="127"/>
      <c r="BO55" s="127"/>
      <c r="BP55" s="127"/>
      <c r="BQ55" s="127"/>
      <c r="BR55" s="127"/>
      <c r="BS55" s="127"/>
      <c r="BT55" s="127"/>
      <c r="BU55" s="127"/>
      <c r="BV55" s="127"/>
      <c r="BW55" s="127"/>
      <c r="BX55" s="127"/>
      <c r="BY55" s="127"/>
      <c r="BZ55" s="127"/>
      <c r="CA55" s="127"/>
      <c r="CB55" s="127"/>
      <c r="CC55" s="127"/>
      <c r="CD55" s="127"/>
    </row>
    <row r="56" spans="47:83" ht="6" customHeight="1" x14ac:dyDescent="0.25"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  <c r="BN56" s="127"/>
      <c r="BO56" s="127"/>
      <c r="BP56" s="127"/>
      <c r="BQ56" s="127"/>
      <c r="BR56" s="127"/>
      <c r="BS56" s="127"/>
      <c r="BT56" s="127"/>
      <c r="BU56" s="127"/>
      <c r="BV56" s="127"/>
      <c r="BW56" s="127"/>
      <c r="BX56" s="127"/>
      <c r="BY56" s="127"/>
      <c r="BZ56" s="127"/>
      <c r="CA56" s="127"/>
      <c r="CB56" s="127"/>
      <c r="CC56" s="127"/>
      <c r="CD56" s="127"/>
    </row>
    <row r="57" spans="47:83" ht="6" customHeight="1" x14ac:dyDescent="0.25">
      <c r="AU57" s="120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2"/>
    </row>
    <row r="58" spans="47:83" ht="6" customHeight="1" x14ac:dyDescent="0.25">
      <c r="AU58" s="123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24"/>
      <c r="BZ58" s="124"/>
      <c r="CA58" s="124"/>
      <c r="CB58" s="124"/>
      <c r="CC58" s="124"/>
      <c r="CD58" s="125"/>
    </row>
    <row r="59" spans="47:83" ht="6" customHeight="1" x14ac:dyDescent="0.25">
      <c r="AU59" s="120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2"/>
    </row>
    <row r="60" spans="47:83" ht="6" customHeight="1" x14ac:dyDescent="0.25">
      <c r="AU60" s="123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24"/>
      <c r="BZ60" s="124"/>
      <c r="CA60" s="124"/>
      <c r="CB60" s="124"/>
      <c r="CC60" s="124"/>
      <c r="CD60" s="125"/>
    </row>
    <row r="61" spans="47:83" ht="6" customHeight="1" x14ac:dyDescent="0.25">
      <c r="AU61" s="120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2"/>
    </row>
    <row r="62" spans="47:83" ht="6" customHeight="1" x14ac:dyDescent="0.25">
      <c r="AU62" s="123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4"/>
      <c r="BV62" s="124"/>
      <c r="BW62" s="124"/>
      <c r="BX62" s="124"/>
      <c r="BY62" s="124"/>
      <c r="BZ62" s="124"/>
      <c r="CA62" s="124"/>
      <c r="CB62" s="124"/>
      <c r="CC62" s="124"/>
      <c r="CD62" s="125"/>
    </row>
    <row r="63" spans="47:83" ht="6" customHeight="1" x14ac:dyDescent="0.25">
      <c r="AU63" s="127" t="s">
        <v>26</v>
      </c>
      <c r="AV63" s="127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27"/>
      <c r="BY63" s="127"/>
      <c r="BZ63" s="127"/>
      <c r="CA63" s="127"/>
      <c r="CB63" s="127"/>
      <c r="CC63" s="127"/>
      <c r="CD63" s="127"/>
      <c r="CE63" s="49"/>
    </row>
    <row r="64" spans="47:83" ht="6" customHeight="1" x14ac:dyDescent="0.25"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27"/>
      <c r="BZ64" s="127"/>
      <c r="CA64" s="127"/>
      <c r="CB64" s="127"/>
      <c r="CC64" s="127"/>
      <c r="CD64" s="127"/>
      <c r="CE64" s="49"/>
    </row>
    <row r="65" spans="47:83" ht="6" customHeight="1" x14ac:dyDescent="0.25">
      <c r="AU65" s="120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1"/>
      <c r="BK65" s="121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121"/>
      <c r="BW65" s="121"/>
      <c r="BX65" s="121"/>
      <c r="BY65" s="121"/>
      <c r="BZ65" s="121"/>
      <c r="CA65" s="121"/>
      <c r="CB65" s="121"/>
      <c r="CC65" s="121"/>
      <c r="CD65" s="122"/>
      <c r="CE65" s="49"/>
    </row>
    <row r="66" spans="47:83" ht="6" customHeight="1" x14ac:dyDescent="0.25">
      <c r="AU66" s="123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  <c r="BN66" s="124"/>
      <c r="BO66" s="124"/>
      <c r="BP66" s="124"/>
      <c r="BQ66" s="124"/>
      <c r="BR66" s="124"/>
      <c r="BS66" s="124"/>
      <c r="BT66" s="124"/>
      <c r="BU66" s="124"/>
      <c r="BV66" s="124"/>
      <c r="BW66" s="124"/>
      <c r="BX66" s="124"/>
      <c r="BY66" s="124"/>
      <c r="BZ66" s="124"/>
      <c r="CA66" s="124"/>
      <c r="CB66" s="124"/>
      <c r="CC66" s="124"/>
      <c r="CD66" s="125"/>
      <c r="CE66" s="49"/>
    </row>
    <row r="67" spans="47:83" ht="6" customHeight="1" x14ac:dyDescent="0.25">
      <c r="AU67" s="120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1"/>
      <c r="BK67" s="121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121"/>
      <c r="BW67" s="121"/>
      <c r="BX67" s="121"/>
      <c r="BY67" s="121"/>
      <c r="BZ67" s="121"/>
      <c r="CA67" s="121"/>
      <c r="CB67" s="121"/>
      <c r="CC67" s="121"/>
      <c r="CD67" s="122"/>
      <c r="CE67" s="49"/>
    </row>
    <row r="68" spans="47:83" ht="6" customHeight="1" x14ac:dyDescent="0.25">
      <c r="AU68" s="123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  <c r="BR68" s="124"/>
      <c r="BS68" s="124"/>
      <c r="BT68" s="124"/>
      <c r="BU68" s="124"/>
      <c r="BV68" s="124"/>
      <c r="BW68" s="124"/>
      <c r="BX68" s="124"/>
      <c r="BY68" s="124"/>
      <c r="BZ68" s="124"/>
      <c r="CA68" s="124"/>
      <c r="CB68" s="124"/>
      <c r="CC68" s="124"/>
      <c r="CD68" s="125"/>
      <c r="CE68" s="49"/>
    </row>
    <row r="69" spans="47:83" ht="6" customHeight="1" x14ac:dyDescent="0.25">
      <c r="AU69" s="120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2"/>
      <c r="CE69" s="49"/>
    </row>
    <row r="70" spans="47:83" ht="6" customHeight="1" x14ac:dyDescent="0.25">
      <c r="AU70" s="123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4"/>
      <c r="BG70" s="124"/>
      <c r="BH70" s="124"/>
      <c r="BI70" s="124"/>
      <c r="BJ70" s="124"/>
      <c r="BK70" s="124"/>
      <c r="BL70" s="124"/>
      <c r="BM70" s="124"/>
      <c r="BN70" s="124"/>
      <c r="BO70" s="124"/>
      <c r="BP70" s="124"/>
      <c r="BQ70" s="124"/>
      <c r="BR70" s="124"/>
      <c r="BS70" s="124"/>
      <c r="BT70" s="124"/>
      <c r="BU70" s="124"/>
      <c r="BV70" s="124"/>
      <c r="BW70" s="124"/>
      <c r="BX70" s="124"/>
      <c r="BY70" s="124"/>
      <c r="BZ70" s="124"/>
      <c r="CA70" s="124"/>
      <c r="CB70" s="124"/>
      <c r="CC70" s="124"/>
      <c r="CD70" s="125"/>
      <c r="CE70" s="49"/>
    </row>
    <row r="71" spans="47:83" ht="6" customHeight="1" x14ac:dyDescent="0.25">
      <c r="AU71" s="120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2"/>
      <c r="CE71" s="49"/>
    </row>
    <row r="72" spans="47:83" ht="6" customHeight="1" x14ac:dyDescent="0.25">
      <c r="AU72" s="123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  <c r="BR72" s="124"/>
      <c r="BS72" s="124"/>
      <c r="BT72" s="124"/>
      <c r="BU72" s="124"/>
      <c r="BV72" s="124"/>
      <c r="BW72" s="124"/>
      <c r="BX72" s="124"/>
      <c r="BY72" s="124"/>
      <c r="BZ72" s="124"/>
      <c r="CA72" s="124"/>
      <c r="CB72" s="124"/>
      <c r="CC72" s="124"/>
      <c r="CD72" s="125"/>
      <c r="CE72" s="49"/>
    </row>
    <row r="73" spans="47:83" ht="6" customHeight="1" x14ac:dyDescent="0.25"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9"/>
    </row>
    <row r="74" spans="47:83" ht="6" customHeight="1" x14ac:dyDescent="0.25">
      <c r="AU74" s="126" t="s">
        <v>20</v>
      </c>
      <c r="AV74" s="126"/>
      <c r="AW74" s="126"/>
      <c r="AX74" s="126"/>
      <c r="AY74" s="126"/>
      <c r="AZ74" s="126"/>
      <c r="BA74" s="126"/>
      <c r="BB74" s="230" t="s">
        <v>22</v>
      </c>
      <c r="BC74" s="230"/>
      <c r="BD74" s="230"/>
      <c r="BE74" s="230"/>
      <c r="BF74" s="230"/>
      <c r="BG74" s="230"/>
      <c r="BH74" s="230"/>
      <c r="BI74" s="230"/>
      <c r="BJ74" s="230"/>
      <c r="BK74" s="230"/>
      <c r="BL74" s="230"/>
      <c r="BM74" s="230"/>
      <c r="BN74" s="230"/>
      <c r="BO74" s="230"/>
      <c r="BP74" s="230" t="s">
        <v>86</v>
      </c>
      <c r="BQ74" s="230"/>
      <c r="BR74" s="230"/>
      <c r="BS74" s="230"/>
      <c r="BT74" s="230"/>
      <c r="BU74" s="230" t="s">
        <v>87</v>
      </c>
      <c r="BV74" s="230"/>
      <c r="BW74" s="230"/>
      <c r="BX74" s="230"/>
      <c r="BY74" s="230"/>
      <c r="BZ74" s="126" t="s">
        <v>21</v>
      </c>
      <c r="CA74" s="126"/>
      <c r="CB74" s="126"/>
      <c r="CC74" s="126"/>
      <c r="CD74" s="126"/>
      <c r="CE74" s="49"/>
    </row>
    <row r="75" spans="47:83" ht="6" customHeight="1" x14ac:dyDescent="0.25">
      <c r="AU75" s="229"/>
      <c r="AV75" s="229"/>
      <c r="AW75" s="229"/>
      <c r="AX75" s="229"/>
      <c r="AY75" s="229"/>
      <c r="AZ75" s="229"/>
      <c r="BA75" s="229"/>
      <c r="BB75" s="232"/>
      <c r="BC75" s="232"/>
      <c r="BD75" s="232"/>
      <c r="BE75" s="232"/>
      <c r="BF75" s="232"/>
      <c r="BG75" s="232"/>
      <c r="BH75" s="232"/>
      <c r="BI75" s="232"/>
      <c r="BJ75" s="232"/>
      <c r="BK75" s="232"/>
      <c r="BL75" s="232"/>
      <c r="BM75" s="232"/>
      <c r="BN75" s="232"/>
      <c r="BO75" s="232"/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126"/>
      <c r="CA75" s="126"/>
      <c r="CB75" s="126"/>
      <c r="CC75" s="126"/>
      <c r="CD75" s="126"/>
      <c r="CE75" s="49"/>
    </row>
    <row r="76" spans="47:83" ht="6" customHeight="1" x14ac:dyDescent="0.25">
      <c r="AU76" s="102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4"/>
      <c r="BP76" s="119"/>
      <c r="BQ76" s="119"/>
      <c r="BR76" s="119"/>
      <c r="BS76" s="119"/>
      <c r="BT76" s="119"/>
      <c r="BU76" s="119"/>
      <c r="BV76" s="119"/>
      <c r="BW76" s="119"/>
      <c r="BX76" s="119"/>
      <c r="BY76" s="119"/>
      <c r="BZ76" s="224"/>
      <c r="CA76" s="224"/>
      <c r="CB76" s="224"/>
      <c r="CC76" s="224"/>
      <c r="CD76" s="225"/>
      <c r="CE76" s="49"/>
    </row>
    <row r="77" spans="47:83" ht="6" customHeight="1" x14ac:dyDescent="0.25">
      <c r="AU77" s="105"/>
      <c r="AV77" s="106"/>
      <c r="AW77" s="106"/>
      <c r="AX77" s="106"/>
      <c r="AY77" s="106"/>
      <c r="AZ77" s="106"/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  <c r="BK77" s="106"/>
      <c r="BL77" s="106"/>
      <c r="BM77" s="106"/>
      <c r="BN77" s="106"/>
      <c r="BO77" s="107"/>
      <c r="BP77" s="119"/>
      <c r="BQ77" s="119"/>
      <c r="BR77" s="119"/>
      <c r="BS77" s="119"/>
      <c r="BT77" s="119"/>
      <c r="BU77" s="119"/>
      <c r="BV77" s="119"/>
      <c r="BW77" s="119"/>
      <c r="BX77" s="119"/>
      <c r="BY77" s="119"/>
      <c r="BZ77" s="227"/>
      <c r="CA77" s="227"/>
      <c r="CB77" s="227"/>
      <c r="CC77" s="227"/>
      <c r="CD77" s="228"/>
      <c r="CE77" s="49"/>
    </row>
    <row r="78" spans="47:83" ht="6" customHeight="1" x14ac:dyDescent="0.25">
      <c r="AU78" s="102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  <c r="BM78" s="103"/>
      <c r="BN78" s="103"/>
      <c r="BO78" s="104"/>
      <c r="BP78" s="119"/>
      <c r="BQ78" s="119"/>
      <c r="BR78" s="119"/>
      <c r="BS78" s="119"/>
      <c r="BT78" s="119"/>
      <c r="BU78" s="119"/>
      <c r="BV78" s="119"/>
      <c r="BW78" s="119"/>
      <c r="BX78" s="119"/>
      <c r="BY78" s="119"/>
      <c r="BZ78" s="223"/>
      <c r="CA78" s="224"/>
      <c r="CB78" s="224"/>
      <c r="CC78" s="224"/>
      <c r="CD78" s="225"/>
      <c r="CE78" s="49"/>
    </row>
    <row r="79" spans="47:83" ht="6" customHeight="1" x14ac:dyDescent="0.25">
      <c r="AU79" s="105"/>
      <c r="AV79" s="106"/>
      <c r="AW79" s="106"/>
      <c r="AX79" s="106"/>
      <c r="AY79" s="106"/>
      <c r="AZ79" s="106"/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  <c r="BK79" s="106"/>
      <c r="BL79" s="106"/>
      <c r="BM79" s="106"/>
      <c r="BN79" s="106"/>
      <c r="BO79" s="107"/>
      <c r="BP79" s="119"/>
      <c r="BQ79" s="119"/>
      <c r="BR79" s="119"/>
      <c r="BS79" s="119"/>
      <c r="BT79" s="119"/>
      <c r="BU79" s="119"/>
      <c r="BV79" s="119"/>
      <c r="BW79" s="119"/>
      <c r="BX79" s="119"/>
      <c r="BY79" s="119"/>
      <c r="BZ79" s="226"/>
      <c r="CA79" s="227"/>
      <c r="CB79" s="227"/>
      <c r="CC79" s="227"/>
      <c r="CD79" s="228"/>
      <c r="CE79" s="49"/>
    </row>
    <row r="80" spans="47:83" ht="6" customHeight="1" x14ac:dyDescent="0.25">
      <c r="AU80" s="102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3"/>
      <c r="BO80" s="104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223"/>
      <c r="CA80" s="224"/>
      <c r="CB80" s="224"/>
      <c r="CC80" s="224"/>
      <c r="CD80" s="225"/>
      <c r="CE80" s="49"/>
    </row>
    <row r="81" spans="47:141" ht="6" customHeight="1" x14ac:dyDescent="0.25">
      <c r="AU81" s="105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7"/>
      <c r="BP81" s="119"/>
      <c r="BQ81" s="119"/>
      <c r="BR81" s="119"/>
      <c r="BS81" s="119"/>
      <c r="BT81" s="119"/>
      <c r="BU81" s="119"/>
      <c r="BV81" s="119"/>
      <c r="BW81" s="119"/>
      <c r="BX81" s="119"/>
      <c r="BY81" s="119"/>
      <c r="BZ81" s="226"/>
      <c r="CA81" s="227"/>
      <c r="CB81" s="227"/>
      <c r="CC81" s="227"/>
      <c r="CD81" s="228"/>
      <c r="CE81" s="49"/>
    </row>
    <row r="82" spans="47:141" ht="6" customHeight="1" x14ac:dyDescent="0.25">
      <c r="AU82" s="102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  <c r="BM82" s="103"/>
      <c r="BN82" s="103"/>
      <c r="BO82" s="104"/>
      <c r="BP82" s="119"/>
      <c r="BQ82" s="119"/>
      <c r="BR82" s="119"/>
      <c r="BS82" s="119"/>
      <c r="BT82" s="119"/>
      <c r="BU82" s="119"/>
      <c r="BV82" s="119"/>
      <c r="BW82" s="119"/>
      <c r="BX82" s="119"/>
      <c r="BY82" s="119"/>
      <c r="BZ82" s="223"/>
      <c r="CA82" s="224"/>
      <c r="CB82" s="224"/>
      <c r="CC82" s="224"/>
      <c r="CD82" s="225"/>
      <c r="CE82" s="49"/>
    </row>
    <row r="83" spans="47:141" ht="6" customHeight="1" x14ac:dyDescent="0.25">
      <c r="AU83" s="105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  <c r="BK83" s="106"/>
      <c r="BL83" s="106"/>
      <c r="BM83" s="106"/>
      <c r="BN83" s="106"/>
      <c r="BO83" s="107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226"/>
      <c r="CA83" s="227"/>
      <c r="CB83" s="227"/>
      <c r="CC83" s="227"/>
      <c r="CD83" s="228"/>
      <c r="CE83" s="49"/>
    </row>
    <row r="84" spans="47:141" ht="6" customHeight="1" x14ac:dyDescent="0.25">
      <c r="AU84" s="102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  <c r="BM84" s="103"/>
      <c r="BN84" s="103"/>
      <c r="BO84" s="104"/>
      <c r="BP84" s="119"/>
      <c r="BQ84" s="119"/>
      <c r="BR84" s="119"/>
      <c r="BS84" s="119"/>
      <c r="BT84" s="119"/>
      <c r="BU84" s="119"/>
      <c r="BV84" s="119"/>
      <c r="BW84" s="119"/>
      <c r="BX84" s="119"/>
      <c r="BY84" s="119"/>
      <c r="BZ84" s="223"/>
      <c r="CA84" s="224"/>
      <c r="CB84" s="224"/>
      <c r="CC84" s="224"/>
      <c r="CD84" s="225"/>
      <c r="CE84" s="49"/>
    </row>
    <row r="85" spans="47:141" ht="6" customHeight="1" x14ac:dyDescent="0.25">
      <c r="AU85" s="105"/>
      <c r="AV85" s="106"/>
      <c r="AW85" s="106"/>
      <c r="AX85" s="106"/>
      <c r="AY85" s="106"/>
      <c r="AZ85" s="106"/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  <c r="BK85" s="106"/>
      <c r="BL85" s="106"/>
      <c r="BM85" s="106"/>
      <c r="BN85" s="106"/>
      <c r="BO85" s="107"/>
      <c r="BP85" s="119"/>
      <c r="BQ85" s="119"/>
      <c r="BR85" s="119"/>
      <c r="BS85" s="119"/>
      <c r="BT85" s="119"/>
      <c r="BU85" s="119"/>
      <c r="BV85" s="119"/>
      <c r="BW85" s="119"/>
      <c r="BX85" s="119"/>
      <c r="BY85" s="119"/>
      <c r="BZ85" s="226"/>
      <c r="CA85" s="227"/>
      <c r="CB85" s="227"/>
      <c r="CC85" s="227"/>
      <c r="CD85" s="228"/>
      <c r="CE85" s="49"/>
    </row>
    <row r="86" spans="47:141" ht="6" customHeight="1" x14ac:dyDescent="0.25">
      <c r="AU86" s="102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  <c r="BM86" s="103"/>
      <c r="BN86" s="103"/>
      <c r="BO86" s="104"/>
      <c r="BP86" s="119"/>
      <c r="BQ86" s="119"/>
      <c r="BR86" s="119"/>
      <c r="BS86" s="119"/>
      <c r="BT86" s="119"/>
      <c r="BU86" s="119"/>
      <c r="BV86" s="119"/>
      <c r="BW86" s="119"/>
      <c r="BX86" s="119"/>
      <c r="BY86" s="119"/>
      <c r="BZ86" s="223"/>
      <c r="CA86" s="224"/>
      <c r="CB86" s="224"/>
      <c r="CC86" s="224"/>
      <c r="CD86" s="225"/>
      <c r="CE86" s="49"/>
    </row>
    <row r="87" spans="47:141" ht="6" customHeight="1" x14ac:dyDescent="0.25">
      <c r="AU87" s="105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  <c r="BK87" s="106"/>
      <c r="BL87" s="106"/>
      <c r="BM87" s="106"/>
      <c r="BN87" s="106"/>
      <c r="BO87" s="107"/>
      <c r="BP87" s="119"/>
      <c r="BQ87" s="119"/>
      <c r="BR87" s="119"/>
      <c r="BS87" s="119"/>
      <c r="BT87" s="119"/>
      <c r="BU87" s="119"/>
      <c r="BV87" s="119"/>
      <c r="BW87" s="119"/>
      <c r="BX87" s="119"/>
      <c r="BY87" s="119"/>
      <c r="BZ87" s="226"/>
      <c r="CA87" s="227"/>
      <c r="CB87" s="227"/>
      <c r="CC87" s="227"/>
      <c r="CD87" s="228"/>
      <c r="CE87" s="49"/>
    </row>
    <row r="88" spans="47:141" ht="6" customHeight="1" x14ac:dyDescent="0.25">
      <c r="AU88" s="102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  <c r="BM88" s="103"/>
      <c r="BN88" s="103"/>
      <c r="BO88" s="104"/>
      <c r="BP88" s="119"/>
      <c r="BQ88" s="119"/>
      <c r="BR88" s="119"/>
      <c r="BS88" s="119"/>
      <c r="BT88" s="119"/>
      <c r="BU88" s="119"/>
      <c r="BV88" s="119"/>
      <c r="BW88" s="119"/>
      <c r="BX88" s="119"/>
      <c r="BY88" s="119"/>
      <c r="BZ88" s="223"/>
      <c r="CA88" s="224"/>
      <c r="CB88" s="224"/>
      <c r="CC88" s="224"/>
      <c r="CD88" s="225"/>
    </row>
    <row r="89" spans="47:141" ht="6" customHeight="1" x14ac:dyDescent="0.25">
      <c r="AU89" s="105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  <c r="BK89" s="106"/>
      <c r="BL89" s="106"/>
      <c r="BM89" s="106"/>
      <c r="BN89" s="106"/>
      <c r="BO89" s="107"/>
      <c r="BP89" s="119"/>
      <c r="BQ89" s="119"/>
      <c r="BR89" s="119"/>
      <c r="BS89" s="119"/>
      <c r="BT89" s="119"/>
      <c r="BU89" s="119"/>
      <c r="BV89" s="119"/>
      <c r="BW89" s="119"/>
      <c r="BX89" s="119"/>
      <c r="BY89" s="119"/>
      <c r="BZ89" s="226"/>
      <c r="CA89" s="227"/>
      <c r="CB89" s="227"/>
      <c r="CC89" s="227"/>
      <c r="CD89" s="228"/>
    </row>
    <row r="90" spans="47:141" ht="6" customHeight="1" x14ac:dyDescent="0.25">
      <c r="AU90" s="102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  <c r="BM90" s="103"/>
      <c r="BN90" s="103"/>
      <c r="BO90" s="104"/>
      <c r="BP90" s="119"/>
      <c r="BQ90" s="119"/>
      <c r="BR90" s="119"/>
      <c r="BS90" s="119"/>
      <c r="BT90" s="119"/>
      <c r="BU90" s="119"/>
      <c r="BV90" s="119"/>
      <c r="BW90" s="119"/>
      <c r="BX90" s="119"/>
      <c r="BY90" s="119"/>
      <c r="BZ90" s="223"/>
      <c r="CA90" s="224"/>
      <c r="CB90" s="224"/>
      <c r="CC90" s="224"/>
      <c r="CD90" s="225"/>
    </row>
    <row r="91" spans="47:141" ht="6" customHeight="1" x14ac:dyDescent="0.25">
      <c r="AU91" s="105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  <c r="BL91" s="106"/>
      <c r="BM91" s="106"/>
      <c r="BN91" s="106"/>
      <c r="BO91" s="107"/>
      <c r="BP91" s="119"/>
      <c r="BQ91" s="119"/>
      <c r="BR91" s="119"/>
      <c r="BS91" s="119"/>
      <c r="BT91" s="119"/>
      <c r="BU91" s="119"/>
      <c r="BV91" s="119"/>
      <c r="BW91" s="119"/>
      <c r="BX91" s="119"/>
      <c r="BY91" s="119"/>
      <c r="BZ91" s="226"/>
      <c r="CA91" s="227"/>
      <c r="CB91" s="227"/>
      <c r="CC91" s="227"/>
      <c r="CD91" s="228"/>
    </row>
    <row r="92" spans="47:141" ht="6" customHeight="1" x14ac:dyDescent="0.25"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/>
      <c r="BZ92" s="48"/>
      <c r="CA92" s="48"/>
      <c r="CB92" s="48"/>
      <c r="CC92" s="48"/>
      <c r="CD92" s="48"/>
    </row>
    <row r="93" spans="47:141" ht="6" customHeight="1" x14ac:dyDescent="0.25">
      <c r="AU93" s="239" t="s">
        <v>23</v>
      </c>
      <c r="AV93" s="239"/>
      <c r="AW93" s="239"/>
      <c r="AX93" s="239"/>
      <c r="AY93" s="239"/>
      <c r="AZ93" s="239"/>
      <c r="BA93" s="239"/>
      <c r="BB93" s="239"/>
      <c r="BC93" s="239"/>
      <c r="BD93" s="239"/>
      <c r="BE93" s="239"/>
      <c r="BF93" s="239"/>
      <c r="BG93" s="239"/>
      <c r="BH93" s="233"/>
      <c r="BI93" s="234"/>
      <c r="BJ93" s="234"/>
      <c r="BK93" s="234"/>
      <c r="BL93" s="234"/>
      <c r="BM93" s="234"/>
      <c r="BN93" s="234"/>
      <c r="BO93" s="234"/>
      <c r="BP93" s="234"/>
      <c r="BQ93" s="234"/>
      <c r="BR93" s="234"/>
      <c r="BS93" s="234"/>
      <c r="BT93" s="234"/>
      <c r="BU93" s="234"/>
      <c r="BV93" s="234"/>
      <c r="BW93" s="234"/>
      <c r="BX93" s="234"/>
      <c r="BY93" s="234"/>
      <c r="BZ93" s="234"/>
      <c r="CA93" s="234"/>
      <c r="CB93" s="234"/>
      <c r="CC93" s="234"/>
      <c r="CD93" s="235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</row>
    <row r="94" spans="47:141" ht="6" customHeight="1" x14ac:dyDescent="0.25">
      <c r="AU94" s="239"/>
      <c r="AV94" s="239"/>
      <c r="AW94" s="239"/>
      <c r="AX94" s="239"/>
      <c r="AY94" s="239"/>
      <c r="AZ94" s="239"/>
      <c r="BA94" s="239"/>
      <c r="BB94" s="239"/>
      <c r="BC94" s="239"/>
      <c r="BD94" s="239"/>
      <c r="BE94" s="239"/>
      <c r="BF94" s="239"/>
      <c r="BG94" s="239"/>
      <c r="BH94" s="236"/>
      <c r="BI94" s="237"/>
      <c r="BJ94" s="237"/>
      <c r="BK94" s="237"/>
      <c r="BL94" s="237"/>
      <c r="BM94" s="237"/>
      <c r="BN94" s="237"/>
      <c r="BO94" s="237"/>
      <c r="BP94" s="237"/>
      <c r="BQ94" s="237"/>
      <c r="BR94" s="237"/>
      <c r="BS94" s="237"/>
      <c r="BT94" s="237"/>
      <c r="BU94" s="237"/>
      <c r="BV94" s="237"/>
      <c r="BW94" s="237"/>
      <c r="BX94" s="237"/>
      <c r="BY94" s="237"/>
      <c r="BZ94" s="237"/>
      <c r="CA94" s="237"/>
      <c r="CB94" s="237"/>
      <c r="CC94" s="237"/>
      <c r="CD94" s="238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  <c r="EH94" s="62"/>
      <c r="EI94" s="62"/>
      <c r="EJ94" s="62"/>
      <c r="EK94" s="62"/>
    </row>
    <row r="95" spans="47:141" ht="6" customHeight="1" x14ac:dyDescent="0.25"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  <c r="EH95" s="62"/>
      <c r="EI95" s="62"/>
      <c r="EJ95" s="62"/>
      <c r="EK95" s="62"/>
    </row>
    <row r="96" spans="47:141" ht="6" customHeight="1" x14ac:dyDescent="0.25">
      <c r="AU96" s="239" t="s">
        <v>24</v>
      </c>
      <c r="AV96" s="239"/>
      <c r="AW96" s="239"/>
      <c r="AX96" s="239"/>
      <c r="AY96" s="239"/>
      <c r="AZ96" s="239"/>
      <c r="BA96" s="239"/>
      <c r="BB96" s="239"/>
      <c r="BC96" s="239"/>
      <c r="BD96" s="239"/>
      <c r="BE96" s="239"/>
      <c r="BF96" s="239"/>
      <c r="BG96" s="240"/>
      <c r="BH96" s="233"/>
      <c r="BI96" s="234"/>
      <c r="BJ96" s="234"/>
      <c r="BK96" s="234"/>
      <c r="BL96" s="234"/>
      <c r="BM96" s="234"/>
      <c r="BN96" s="234"/>
      <c r="BO96" s="234"/>
      <c r="BP96" s="234"/>
      <c r="BQ96" s="234"/>
      <c r="BR96" s="234"/>
      <c r="BS96" s="234"/>
      <c r="BT96" s="234"/>
      <c r="BU96" s="234"/>
      <c r="BV96" s="234"/>
      <c r="BW96" s="234"/>
      <c r="BX96" s="234"/>
      <c r="BY96" s="234"/>
      <c r="BZ96" s="234"/>
      <c r="CA96" s="234"/>
      <c r="CB96" s="234"/>
      <c r="CC96" s="234"/>
      <c r="CD96" s="235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  <c r="EH96" s="62"/>
      <c r="EI96" s="62"/>
      <c r="EJ96" s="62"/>
      <c r="EK96" s="62"/>
    </row>
    <row r="97" spans="47:181" ht="6" customHeight="1" x14ac:dyDescent="0.25">
      <c r="AU97" s="239"/>
      <c r="AV97" s="239"/>
      <c r="AW97" s="239"/>
      <c r="AX97" s="239"/>
      <c r="AY97" s="239"/>
      <c r="AZ97" s="239"/>
      <c r="BA97" s="239"/>
      <c r="BB97" s="239"/>
      <c r="BC97" s="239"/>
      <c r="BD97" s="239"/>
      <c r="BE97" s="239"/>
      <c r="BF97" s="239"/>
      <c r="BG97" s="240"/>
      <c r="BH97" s="236"/>
      <c r="BI97" s="237"/>
      <c r="BJ97" s="237"/>
      <c r="BK97" s="237"/>
      <c r="BL97" s="237"/>
      <c r="BM97" s="237"/>
      <c r="BN97" s="237"/>
      <c r="BO97" s="237"/>
      <c r="BP97" s="237"/>
      <c r="BQ97" s="237"/>
      <c r="BR97" s="237"/>
      <c r="BS97" s="237"/>
      <c r="BT97" s="237"/>
      <c r="BU97" s="237"/>
      <c r="BV97" s="237"/>
      <c r="BW97" s="237"/>
      <c r="BX97" s="237"/>
      <c r="BY97" s="237"/>
      <c r="BZ97" s="237"/>
      <c r="CA97" s="237"/>
      <c r="CB97" s="237"/>
      <c r="CC97" s="237"/>
      <c r="CD97" s="238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  <c r="EH97" s="62"/>
      <c r="EI97" s="62"/>
      <c r="EJ97" s="62"/>
      <c r="EK97" s="62"/>
    </row>
    <row r="98" spans="47:181" ht="6" customHeight="1" x14ac:dyDescent="0.25">
      <c r="BH98" s="233"/>
      <c r="BI98" s="234"/>
      <c r="BJ98" s="234"/>
      <c r="BK98" s="234"/>
      <c r="BL98" s="234"/>
      <c r="BM98" s="234"/>
      <c r="BN98" s="234"/>
      <c r="BO98" s="234"/>
      <c r="BP98" s="234"/>
      <c r="BQ98" s="234"/>
      <c r="BR98" s="234"/>
      <c r="BS98" s="234"/>
      <c r="BT98" s="234"/>
      <c r="BU98" s="234"/>
      <c r="BV98" s="234"/>
      <c r="BW98" s="234"/>
      <c r="BX98" s="234"/>
      <c r="BY98" s="234"/>
      <c r="BZ98" s="234"/>
      <c r="CA98" s="234"/>
      <c r="CB98" s="234"/>
      <c r="CC98" s="234"/>
      <c r="CD98" s="235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  <c r="EH98" s="62"/>
      <c r="EI98" s="62"/>
      <c r="EJ98" s="62"/>
      <c r="EK98" s="62"/>
    </row>
    <row r="99" spans="47:181" ht="6" customHeight="1" x14ac:dyDescent="0.25">
      <c r="BH99" s="236"/>
      <c r="BI99" s="237"/>
      <c r="BJ99" s="237"/>
      <c r="BK99" s="237"/>
      <c r="BL99" s="237"/>
      <c r="BM99" s="237"/>
      <c r="BN99" s="237"/>
      <c r="BO99" s="237"/>
      <c r="BP99" s="237"/>
      <c r="BQ99" s="237"/>
      <c r="BR99" s="237"/>
      <c r="BS99" s="237"/>
      <c r="BT99" s="237"/>
      <c r="BU99" s="237"/>
      <c r="BV99" s="237"/>
      <c r="BW99" s="237"/>
      <c r="BX99" s="237"/>
      <c r="BY99" s="237"/>
      <c r="BZ99" s="237"/>
      <c r="CA99" s="237"/>
      <c r="CB99" s="237"/>
      <c r="CC99" s="237"/>
      <c r="CD99" s="238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62"/>
      <c r="EM99" s="62"/>
      <c r="EN99" s="62"/>
      <c r="EO99" s="62"/>
      <c r="EP99" s="62"/>
      <c r="EQ99" s="62"/>
      <c r="ER99" s="62"/>
      <c r="ES99" s="62"/>
      <c r="ET99" s="62"/>
      <c r="EU99" s="62"/>
      <c r="EV99" s="62"/>
      <c r="EW99" s="62"/>
      <c r="EX99" s="62"/>
      <c r="EY99" s="62"/>
      <c r="EZ99" s="62"/>
      <c r="FA99" s="62"/>
      <c r="FB99" s="62"/>
      <c r="FC99" s="62"/>
      <c r="FD99" s="62"/>
      <c r="FE99" s="62"/>
      <c r="FF99" s="62"/>
      <c r="FG99" s="62"/>
      <c r="FH99" s="62"/>
      <c r="FI99" s="62"/>
      <c r="FJ99" s="62"/>
      <c r="FK99" s="62"/>
      <c r="FL99" s="62"/>
      <c r="FM99" s="62"/>
      <c r="FN99" s="62"/>
      <c r="FO99" s="62"/>
      <c r="FP99" s="62"/>
      <c r="FQ99" s="62"/>
      <c r="FR99" s="62"/>
      <c r="FS99" s="62"/>
      <c r="FT99" s="62"/>
      <c r="FU99" s="62"/>
      <c r="FV99" s="62"/>
      <c r="FW99" s="62"/>
      <c r="FX99" s="62"/>
      <c r="FY99" s="62"/>
    </row>
    <row r="100" spans="47:181" ht="6" customHeight="1" x14ac:dyDescent="0.25">
      <c r="DV100" s="197" t="s">
        <v>27</v>
      </c>
      <c r="DW100" s="197"/>
      <c r="DX100" s="197"/>
      <c r="DY100" s="197"/>
      <c r="DZ100" s="210" t="s">
        <v>30</v>
      </c>
      <c r="EA100" s="210"/>
      <c r="EB100" s="210"/>
      <c r="EC100" s="210"/>
      <c r="ED100" s="212">
        <v>150</v>
      </c>
      <c r="EE100" s="213"/>
      <c r="EF100" s="213"/>
      <c r="EG100" s="213"/>
      <c r="EH100" s="214"/>
      <c r="EI100" s="51"/>
      <c r="EJ100" s="52"/>
      <c r="EK100" s="52"/>
      <c r="EL100" s="52"/>
      <c r="EM100" s="199" t="s">
        <v>29</v>
      </c>
      <c r="EN100" s="199"/>
      <c r="EO100" s="221"/>
      <c r="EP100" s="221"/>
      <c r="EQ100" s="221"/>
      <c r="ER100" s="221"/>
      <c r="ES100" s="221"/>
      <c r="ET100" s="199" t="s">
        <v>28</v>
      </c>
      <c r="EU100" s="199"/>
      <c r="EV100" s="222" t="e" cm="1">
        <f t="array" ref="EV100">SUM(-(DO7:DS16),DO25:DS36,BZ76:CD91,_Sum_Skill_Costs,)</f>
        <v>#REF!</v>
      </c>
      <c r="EW100" s="222"/>
      <c r="EX100" s="222"/>
      <c r="EY100" s="222"/>
      <c r="EZ100" s="222"/>
      <c r="FA100" s="53"/>
      <c r="FB100" s="53"/>
      <c r="FC100" s="53"/>
      <c r="FD100" s="53"/>
      <c r="FE100" s="53"/>
      <c r="FF100" s="53"/>
      <c r="FG100" s="53"/>
      <c r="FH100" s="199" t="s">
        <v>57</v>
      </c>
      <c r="FI100" s="199"/>
      <c r="FJ100" s="201" t="e">
        <f>ED100+EO100-EV100</f>
        <v>#REF!</v>
      </c>
      <c r="FK100" s="202"/>
      <c r="FL100" s="202"/>
      <c r="FM100" s="202"/>
      <c r="FN100" s="203"/>
      <c r="FO100" s="62"/>
      <c r="FP100" s="62"/>
      <c r="FQ100" s="62"/>
      <c r="FR100" s="62"/>
      <c r="FS100" s="62"/>
      <c r="FT100" s="62"/>
      <c r="FU100" s="62"/>
      <c r="FV100" s="62"/>
      <c r="FW100" s="62"/>
      <c r="FX100" s="62"/>
      <c r="FY100" s="62"/>
    </row>
    <row r="101" spans="47:181" ht="6" customHeight="1" x14ac:dyDescent="0.25">
      <c r="DV101" s="198"/>
      <c r="DW101" s="198"/>
      <c r="DX101" s="198"/>
      <c r="DY101" s="198"/>
      <c r="DZ101" s="211"/>
      <c r="EA101" s="211"/>
      <c r="EB101" s="211"/>
      <c r="EC101" s="211"/>
      <c r="ED101" s="215"/>
      <c r="EE101" s="216"/>
      <c r="EF101" s="216"/>
      <c r="EG101" s="216"/>
      <c r="EH101" s="217"/>
      <c r="EI101" s="51"/>
      <c r="EJ101" s="52"/>
      <c r="EK101" s="52"/>
      <c r="EL101" s="52"/>
      <c r="EM101" s="200"/>
      <c r="EN101" s="200"/>
      <c r="EO101" s="221"/>
      <c r="EP101" s="221"/>
      <c r="EQ101" s="221"/>
      <c r="ER101" s="221"/>
      <c r="ES101" s="221"/>
      <c r="ET101" s="200"/>
      <c r="EU101" s="200"/>
      <c r="EV101" s="222"/>
      <c r="EW101" s="222"/>
      <c r="EX101" s="222"/>
      <c r="EY101" s="222"/>
      <c r="EZ101" s="222"/>
      <c r="FA101" s="53"/>
      <c r="FB101" s="53"/>
      <c r="FC101" s="53"/>
      <c r="FD101" s="53"/>
      <c r="FE101" s="53"/>
      <c r="FF101" s="53"/>
      <c r="FG101" s="53"/>
      <c r="FH101" s="200"/>
      <c r="FI101" s="200"/>
      <c r="FJ101" s="204"/>
      <c r="FK101" s="205"/>
      <c r="FL101" s="205"/>
      <c r="FM101" s="205"/>
      <c r="FN101" s="206"/>
    </row>
    <row r="102" spans="47:181" ht="6" customHeight="1" x14ac:dyDescent="0.25">
      <c r="DV102" s="198"/>
      <c r="DW102" s="198"/>
      <c r="DX102" s="198"/>
      <c r="DY102" s="198"/>
      <c r="DZ102" s="211"/>
      <c r="EA102" s="211"/>
      <c r="EB102" s="211"/>
      <c r="EC102" s="211"/>
      <c r="ED102" s="218"/>
      <c r="EE102" s="219"/>
      <c r="EF102" s="219"/>
      <c r="EG102" s="219"/>
      <c r="EH102" s="220"/>
      <c r="EI102" s="51"/>
      <c r="EJ102" s="52"/>
      <c r="EK102" s="52"/>
      <c r="EL102" s="52"/>
      <c r="EM102" s="200"/>
      <c r="EN102" s="200"/>
      <c r="EO102" s="221"/>
      <c r="EP102" s="221"/>
      <c r="EQ102" s="221"/>
      <c r="ER102" s="221"/>
      <c r="ES102" s="221"/>
      <c r="ET102" s="200"/>
      <c r="EU102" s="200"/>
      <c r="EV102" s="222"/>
      <c r="EW102" s="222"/>
      <c r="EX102" s="222"/>
      <c r="EY102" s="222"/>
      <c r="EZ102" s="222"/>
      <c r="FA102" s="53"/>
      <c r="FB102" s="53"/>
      <c r="FC102" s="53"/>
      <c r="FD102" s="53"/>
      <c r="FE102" s="53"/>
      <c r="FF102" s="53"/>
      <c r="FG102" s="53"/>
      <c r="FH102" s="200"/>
      <c r="FI102" s="200"/>
      <c r="FJ102" s="207"/>
      <c r="FK102" s="208"/>
      <c r="FL102" s="208"/>
      <c r="FM102" s="208"/>
      <c r="FN102" s="209"/>
    </row>
  </sheetData>
  <mergeCells count="160">
    <mergeCell ref="CF35:DN36"/>
    <mergeCell ref="DO35:DS36"/>
    <mergeCell ref="DO25:DS26"/>
    <mergeCell ref="AU80:BO81"/>
    <mergeCell ref="BH98:CD99"/>
    <mergeCell ref="BZ88:CD89"/>
    <mergeCell ref="BZ90:CD91"/>
    <mergeCell ref="AU93:BG94"/>
    <mergeCell ref="BH93:CD94"/>
    <mergeCell ref="BZ82:CD83"/>
    <mergeCell ref="BZ84:CD85"/>
    <mergeCell ref="BZ86:CD87"/>
    <mergeCell ref="BP82:BT83"/>
    <mergeCell ref="BU82:BY83"/>
    <mergeCell ref="BP84:BT85"/>
    <mergeCell ref="BU84:BY85"/>
    <mergeCell ref="BP86:BT87"/>
    <mergeCell ref="BU86:BY87"/>
    <mergeCell ref="BP88:BT89"/>
    <mergeCell ref="BU88:BY89"/>
    <mergeCell ref="BP90:BT91"/>
    <mergeCell ref="BU90:BY91"/>
    <mergeCell ref="AU96:BG97"/>
    <mergeCell ref="BH96:CD97"/>
    <mergeCell ref="BZ80:CD81"/>
    <mergeCell ref="BP80:BT81"/>
    <mergeCell ref="AU61:CD62"/>
    <mergeCell ref="AU63:CD64"/>
    <mergeCell ref="AU65:CD66"/>
    <mergeCell ref="AU74:BA75"/>
    <mergeCell ref="BU74:BY75"/>
    <mergeCell ref="BP74:BT75"/>
    <mergeCell ref="BB74:BO75"/>
    <mergeCell ref="AU76:BO77"/>
    <mergeCell ref="AU78:BO79"/>
    <mergeCell ref="BZ76:CD77"/>
    <mergeCell ref="BZ78:CD79"/>
    <mergeCell ref="BU76:BY77"/>
    <mergeCell ref="BP76:BT77"/>
    <mergeCell ref="BP78:BT79"/>
    <mergeCell ref="BU78:BY79"/>
    <mergeCell ref="DV100:DY102"/>
    <mergeCell ref="FH100:FI102"/>
    <mergeCell ref="FJ100:FN102"/>
    <mergeCell ref="DZ100:EC102"/>
    <mergeCell ref="ED100:EH102"/>
    <mergeCell ref="EM100:EN102"/>
    <mergeCell ref="EO100:ES102"/>
    <mergeCell ref="ET100:EU102"/>
    <mergeCell ref="EV100:EZ102"/>
    <mergeCell ref="AB5:AG6"/>
    <mergeCell ref="DO27:DS28"/>
    <mergeCell ref="DO29:DS30"/>
    <mergeCell ref="CF31:DN32"/>
    <mergeCell ref="DO31:DS32"/>
    <mergeCell ref="CF33:DN34"/>
    <mergeCell ref="CF25:DN26"/>
    <mergeCell ref="CF27:DN28"/>
    <mergeCell ref="CF29:DN30"/>
    <mergeCell ref="DO11:DS12"/>
    <mergeCell ref="CF13:DN14"/>
    <mergeCell ref="DO13:DS14"/>
    <mergeCell ref="CF15:DN16"/>
    <mergeCell ref="DO15:DS16"/>
    <mergeCell ref="CF17:DN18"/>
    <mergeCell ref="DO17:DS18"/>
    <mergeCell ref="CF19:DN20"/>
    <mergeCell ref="DO19:DS20"/>
    <mergeCell ref="CF21:DN22"/>
    <mergeCell ref="DO21:DS22"/>
    <mergeCell ref="CF23:DN24"/>
    <mergeCell ref="DO23:DS24"/>
    <mergeCell ref="DO33:DS34"/>
    <mergeCell ref="AU5:AY6"/>
    <mergeCell ref="BR1:DH3"/>
    <mergeCell ref="G1:BI3"/>
    <mergeCell ref="DI1:DS3"/>
    <mergeCell ref="BJ1:BQ3"/>
    <mergeCell ref="AP5:AS6"/>
    <mergeCell ref="AL5:AO6"/>
    <mergeCell ref="BM14:BU18"/>
    <mergeCell ref="A1:F3"/>
    <mergeCell ref="AH5:AK6"/>
    <mergeCell ref="A5:AA6"/>
    <mergeCell ref="BM11:BX13"/>
    <mergeCell ref="BY11:BZ13"/>
    <mergeCell ref="BI11:BL13"/>
    <mergeCell ref="CA11:CD13"/>
    <mergeCell ref="AU14:BC18"/>
    <mergeCell ref="BD14:BL18"/>
    <mergeCell ref="BV14:CD18"/>
    <mergeCell ref="DO5:DS6"/>
    <mergeCell ref="CF5:DN6"/>
    <mergeCell ref="CF7:DN8"/>
    <mergeCell ref="DO7:DS8"/>
    <mergeCell ref="CF9:DN10"/>
    <mergeCell ref="DO9:DS10"/>
    <mergeCell ref="CF11:DN12"/>
    <mergeCell ref="AU90:BO91"/>
    <mergeCell ref="AU52:BC53"/>
    <mergeCell ref="BD52:BL53"/>
    <mergeCell ref="AU44:BF46"/>
    <mergeCell ref="BG44:BH46"/>
    <mergeCell ref="BD25:BL29"/>
    <mergeCell ref="AU21:BC26"/>
    <mergeCell ref="BR22:BU24"/>
    <mergeCell ref="BM41:BU42"/>
    <mergeCell ref="BI44:BL46"/>
    <mergeCell ref="AU47:BC51"/>
    <mergeCell ref="AU36:BC40"/>
    <mergeCell ref="BD36:BL40"/>
    <mergeCell ref="AU41:BC42"/>
    <mergeCell ref="BD41:BL42"/>
    <mergeCell ref="BM36:BU40"/>
    <mergeCell ref="BM47:CD51"/>
    <mergeCell ref="AU33:BF35"/>
    <mergeCell ref="BG33:BH35"/>
    <mergeCell ref="BM33:BX35"/>
    <mergeCell ref="BY33:BZ35"/>
    <mergeCell ref="CA33:CD35"/>
    <mergeCell ref="BV36:CD40"/>
    <mergeCell ref="BM25:BU29"/>
    <mergeCell ref="BM44:CD46"/>
    <mergeCell ref="BM52:CD53"/>
    <mergeCell ref="BD22:BO24"/>
    <mergeCell ref="BP22:BQ24"/>
    <mergeCell ref="BD47:BL51"/>
    <mergeCell ref="AU82:BO83"/>
    <mergeCell ref="AU84:BO85"/>
    <mergeCell ref="AU86:BO87"/>
    <mergeCell ref="AU88:BO89"/>
    <mergeCell ref="BV41:CD42"/>
    <mergeCell ref="BV27:CD32"/>
    <mergeCell ref="BV21:CD26"/>
    <mergeCell ref="BD30:BL31"/>
    <mergeCell ref="BM30:BU31"/>
    <mergeCell ref="AU27:BC32"/>
    <mergeCell ref="BI33:BL35"/>
    <mergeCell ref="BU80:BY81"/>
    <mergeCell ref="AU67:CD68"/>
    <mergeCell ref="AU69:CD70"/>
    <mergeCell ref="AU71:CD72"/>
    <mergeCell ref="BZ74:CD75"/>
    <mergeCell ref="AU55:CD56"/>
    <mergeCell ref="AU57:CD58"/>
    <mergeCell ref="AU59:CD60"/>
    <mergeCell ref="AU7:AY10"/>
    <mergeCell ref="AZ5:BC6"/>
    <mergeCell ref="AZ7:BC10"/>
    <mergeCell ref="BV5:BY6"/>
    <mergeCell ref="BV7:BY10"/>
    <mergeCell ref="BZ5:CD6"/>
    <mergeCell ref="BZ7:CD10"/>
    <mergeCell ref="BM19:BU20"/>
    <mergeCell ref="AU11:BF13"/>
    <mergeCell ref="BD5:BU10"/>
    <mergeCell ref="BV19:CD20"/>
    <mergeCell ref="AU19:BC20"/>
    <mergeCell ref="BD19:BL20"/>
    <mergeCell ref="BG11:BH13"/>
  </mergeCells>
  <pageMargins left="0.25" right="0.25" top="0.25" bottom="0.2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B560D-7F3A-47E4-9D26-D4A89009E1A8}">
  <dimension ref="A1"/>
  <sheetViews>
    <sheetView showGridLines="0" showRowColHeaders="0" workbookViewId="0">
      <selection activeCell="B4" sqref="B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9BB0-920E-46EB-8501-EFED546FA274}">
  <dimension ref="A1:I2"/>
  <sheetViews>
    <sheetView tabSelected="1" workbookViewId="0">
      <selection activeCell="E2" sqref="E2"/>
    </sheetView>
  </sheetViews>
  <sheetFormatPr defaultRowHeight="15" x14ac:dyDescent="0.25"/>
  <cols>
    <col min="1" max="1" width="14.875" customWidth="1"/>
    <col min="2" max="2" width="15.875" customWidth="1"/>
    <col min="3" max="3" width="8.625" bestFit="1" customWidth="1"/>
    <col min="4" max="4" width="7.25" bestFit="1" customWidth="1"/>
    <col min="5" max="5" width="27.625" customWidth="1"/>
    <col min="6" max="6" width="27.25" customWidth="1"/>
    <col min="7" max="7" width="6.25" bestFit="1" customWidth="1"/>
    <col min="8" max="8" width="6.25" customWidth="1"/>
    <col min="9" max="9" width="8.375" bestFit="1" customWidth="1"/>
  </cols>
  <sheetData>
    <row r="1" spans="1:9" x14ac:dyDescent="0.25">
      <c r="A1" t="s">
        <v>460</v>
      </c>
      <c r="B1" t="s">
        <v>459</v>
      </c>
      <c r="C1" t="s">
        <v>117</v>
      </c>
      <c r="D1" t="s">
        <v>54</v>
      </c>
      <c r="E1" t="s">
        <v>615</v>
      </c>
      <c r="F1" t="s">
        <v>623</v>
      </c>
      <c r="G1" t="s">
        <v>55</v>
      </c>
      <c r="H1" t="s">
        <v>56</v>
      </c>
      <c r="I1" t="s">
        <v>620</v>
      </c>
    </row>
    <row r="2" spans="1:9" x14ac:dyDescent="0.25">
      <c r="A2" s="67" t="s">
        <v>538</v>
      </c>
      <c r="B2" s="67" t="s">
        <v>530</v>
      </c>
      <c r="C2" t="str">
        <f>_xlfn.IFNA(INDEX(Broad_Aspect[Aspect],MATCH(Proficiency[[#This Row],[Broad]],Broad_Aspect[Broad],0)),"")</f>
        <v>Body</v>
      </c>
      <c r="D2">
        <v>4</v>
      </c>
      <c r="F2" t="s">
        <v>292</v>
      </c>
      <c r="G2" s="68">
        <f>INDEX('Tier Constraints'!A33:N46,MATCH(Proficiency[[#This Row],[Rank]],'Tier Constraints'!A33:A46,0),MATCH(Proficiency[[#This Row],[ActTN]],'Tier Constraints'!A33:N33,0))</f>
        <v>1</v>
      </c>
      <c r="H2" s="67">
        <v>8</v>
      </c>
      <c r="I2">
        <f>IF(Proficiency[[#This Row],[Target]]&lt;=1,9,Proficiency[[#This Row],[Target]])</f>
        <v>8</v>
      </c>
    </row>
  </sheetData>
  <dataValidations count="1">
    <dataValidation type="whole" allowBlank="1" showInputMessage="1" showErrorMessage="1" errorTitle="Invalid Number" error="Only Whole numbers between 0 and 12 are valid Rank." sqref="D2" xr:uid="{7B7F38E7-20BB-4B95-8ECA-AF2EF61FB7DD}">
      <formula1>0</formula1>
      <formula2>12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BF2D5C7-0ACF-4FEA-93C4-1B0C8D3E4996}">
          <x14:formula1>
            <xm:f>'Skill List'!$A$2:$A$300</xm:f>
          </x14:formula1>
          <xm:sqref>A2</xm:sqref>
        </x14:dataValidation>
        <x14:dataValidation type="list" allowBlank="1" showInputMessage="1" showErrorMessage="1" xr:uid="{A1F9D8A4-01E6-4FBF-A087-778EABF24CBA}">
          <x14:formula1>
            <xm:f>'Skill List'!$I$17:$I$31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6916-251F-4730-A892-4FFD0CE165DA}">
  <sheetPr codeName="Sheet6"/>
  <dimension ref="A1:AJ12"/>
  <sheetViews>
    <sheetView workbookViewId="0">
      <selection activeCell="AA3" sqref="AA3:AE4"/>
    </sheetView>
  </sheetViews>
  <sheetFormatPr defaultRowHeight="15" x14ac:dyDescent="0.25"/>
  <cols>
    <col min="1" max="21" width="4.125" customWidth="1"/>
    <col min="22" max="36" width="5" customWidth="1"/>
  </cols>
  <sheetData>
    <row r="1" spans="1:36" x14ac:dyDescent="0.25">
      <c r="A1" s="254" t="s">
        <v>22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</row>
    <row r="2" spans="1:36" x14ac:dyDescent="0.25">
      <c r="A2" s="255" t="s">
        <v>52</v>
      </c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6" t="s">
        <v>132</v>
      </c>
      <c r="W2" s="256"/>
      <c r="X2" s="256"/>
      <c r="Y2" s="256"/>
      <c r="Z2" s="256"/>
      <c r="AA2" s="256" t="s">
        <v>133</v>
      </c>
      <c r="AB2" s="256"/>
      <c r="AC2" s="256"/>
      <c r="AD2" s="256"/>
      <c r="AE2" s="256"/>
      <c r="AF2" s="255" t="s">
        <v>21</v>
      </c>
      <c r="AG2" s="255"/>
      <c r="AH2" s="255"/>
      <c r="AI2" s="255"/>
      <c r="AJ2" s="255"/>
    </row>
    <row r="3" spans="1:36" x14ac:dyDescent="0.25">
      <c r="A3" s="241" t="s">
        <v>47</v>
      </c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3"/>
      <c r="V3" s="247">
        <v>3</v>
      </c>
      <c r="W3" s="247"/>
      <c r="X3" s="247"/>
      <c r="Y3" s="247"/>
      <c r="Z3" s="247"/>
      <c r="AA3" s="247">
        <v>2</v>
      </c>
      <c r="AB3" s="247"/>
      <c r="AC3" s="247"/>
      <c r="AD3" s="247"/>
      <c r="AE3" s="247"/>
      <c r="AF3" s="249">
        <v>0</v>
      </c>
      <c r="AG3" s="249"/>
      <c r="AH3" s="249"/>
      <c r="AI3" s="249"/>
      <c r="AJ3" s="250"/>
    </row>
    <row r="4" spans="1:36" x14ac:dyDescent="0.25">
      <c r="A4" s="244"/>
      <c r="B4" s="245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  <c r="U4" s="246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52"/>
      <c r="AG4" s="252"/>
      <c r="AH4" s="252"/>
      <c r="AI4" s="252"/>
      <c r="AJ4" s="253"/>
    </row>
    <row r="5" spans="1:36" x14ac:dyDescent="0.25">
      <c r="A5" s="241" t="s">
        <v>48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2"/>
      <c r="U5" s="243"/>
      <c r="V5" s="247">
        <v>1</v>
      </c>
      <c r="W5" s="247"/>
      <c r="X5" s="247"/>
      <c r="Y5" s="247"/>
      <c r="Z5" s="247"/>
      <c r="AA5" s="247">
        <v>0</v>
      </c>
      <c r="AB5" s="247"/>
      <c r="AC5" s="247"/>
      <c r="AD5" s="247"/>
      <c r="AE5" s="247"/>
      <c r="AF5" s="248">
        <v>0</v>
      </c>
      <c r="AG5" s="249"/>
      <c r="AH5" s="249"/>
      <c r="AI5" s="249"/>
      <c r="AJ5" s="250"/>
    </row>
    <row r="6" spans="1:36" x14ac:dyDescent="0.25">
      <c r="A6" s="244"/>
      <c r="B6" s="245"/>
      <c r="C6" s="245"/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6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51"/>
      <c r="AG6" s="252"/>
      <c r="AH6" s="252"/>
      <c r="AI6" s="252"/>
      <c r="AJ6" s="253"/>
    </row>
    <row r="7" spans="1:36" x14ac:dyDescent="0.25">
      <c r="A7" s="241" t="s">
        <v>49</v>
      </c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3"/>
      <c r="V7" s="247">
        <v>4</v>
      </c>
      <c r="W7" s="247"/>
      <c r="X7" s="247"/>
      <c r="Y7" s="247"/>
      <c r="Z7" s="247"/>
      <c r="AA7" s="247">
        <v>3</v>
      </c>
      <c r="AB7" s="247"/>
      <c r="AC7" s="247"/>
      <c r="AD7" s="247"/>
      <c r="AE7" s="247"/>
      <c r="AF7" s="248">
        <v>0</v>
      </c>
      <c r="AG7" s="249"/>
      <c r="AH7" s="249"/>
      <c r="AI7" s="249"/>
      <c r="AJ7" s="250"/>
    </row>
    <row r="8" spans="1:36" x14ac:dyDescent="0.25">
      <c r="A8" s="244"/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246"/>
      <c r="V8" s="247"/>
      <c r="W8" s="247"/>
      <c r="X8" s="247"/>
      <c r="Y8" s="247"/>
      <c r="Z8" s="247"/>
      <c r="AA8" s="247"/>
      <c r="AB8" s="247"/>
      <c r="AC8" s="247"/>
      <c r="AD8" s="247"/>
      <c r="AE8" s="247"/>
      <c r="AF8" s="251"/>
      <c r="AG8" s="252"/>
      <c r="AH8" s="252"/>
      <c r="AI8" s="252"/>
      <c r="AJ8" s="253"/>
    </row>
    <row r="9" spans="1:36" x14ac:dyDescent="0.25">
      <c r="A9" s="241" t="s">
        <v>50</v>
      </c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3"/>
      <c r="V9" s="247">
        <v>2</v>
      </c>
      <c r="W9" s="247"/>
      <c r="X9" s="247"/>
      <c r="Y9" s="247"/>
      <c r="Z9" s="247"/>
      <c r="AA9" s="247">
        <v>1</v>
      </c>
      <c r="AB9" s="247"/>
      <c r="AC9" s="247"/>
      <c r="AD9" s="247"/>
      <c r="AE9" s="247"/>
      <c r="AF9" s="248">
        <v>0</v>
      </c>
      <c r="AG9" s="249"/>
      <c r="AH9" s="249"/>
      <c r="AI9" s="249"/>
      <c r="AJ9" s="250"/>
    </row>
    <row r="10" spans="1:36" x14ac:dyDescent="0.25">
      <c r="A10" s="244"/>
      <c r="B10" s="245"/>
      <c r="C10" s="245"/>
      <c r="D10" s="245"/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246"/>
      <c r="V10" s="247"/>
      <c r="W10" s="247"/>
      <c r="X10" s="247"/>
      <c r="Y10" s="247"/>
      <c r="Z10" s="247"/>
      <c r="AA10" s="247"/>
      <c r="AB10" s="247"/>
      <c r="AC10" s="247"/>
      <c r="AD10" s="247"/>
      <c r="AE10" s="247"/>
      <c r="AF10" s="251"/>
      <c r="AG10" s="252"/>
      <c r="AH10" s="252"/>
      <c r="AI10" s="252"/>
      <c r="AJ10" s="253"/>
    </row>
    <row r="11" spans="1:36" x14ac:dyDescent="0.25">
      <c r="A11" s="241" t="s">
        <v>51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2"/>
      <c r="S11" s="242"/>
      <c r="T11" s="242"/>
      <c r="U11" s="243"/>
      <c r="V11" s="247">
        <v>2</v>
      </c>
      <c r="W11" s="247"/>
      <c r="X11" s="247"/>
      <c r="Y11" s="247"/>
      <c r="Z11" s="247"/>
      <c r="AA11" s="247">
        <v>0</v>
      </c>
      <c r="AB11" s="247"/>
      <c r="AC11" s="247"/>
      <c r="AD11" s="247"/>
      <c r="AE11" s="247"/>
      <c r="AF11" s="248">
        <v>0</v>
      </c>
      <c r="AG11" s="249"/>
      <c r="AH11" s="249"/>
      <c r="AI11" s="249"/>
      <c r="AJ11" s="250"/>
    </row>
    <row r="12" spans="1:36" x14ac:dyDescent="0.25">
      <c r="A12" s="244"/>
      <c r="B12" s="245"/>
      <c r="C12" s="245"/>
      <c r="D12" s="245"/>
      <c r="E12" s="245"/>
      <c r="F12" s="245"/>
      <c r="G12" s="245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6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51"/>
      <c r="AG12" s="252"/>
      <c r="AH12" s="252"/>
      <c r="AI12" s="252"/>
      <c r="AJ12" s="253"/>
    </row>
  </sheetData>
  <sheetProtection algorithmName="SHA-512" hashValue="y7GNDoaxi9+lUsLrA2nVeWJvYef+RS3ObdN48OXGUHHgEG99vC7vMCm11T7LvtZsCbHZ96TTx7mNk5lxC6MQ6A==" saltValue="3/72DYnno1AHMGefUkTCwQ==" spinCount="100000" sheet="1" objects="1" scenarios="1"/>
  <mergeCells count="25">
    <mergeCell ref="A3:U4"/>
    <mergeCell ref="V3:Z4"/>
    <mergeCell ref="AA3:AE4"/>
    <mergeCell ref="AF3:AJ4"/>
    <mergeCell ref="A1:AJ1"/>
    <mergeCell ref="A2:U2"/>
    <mergeCell ref="V2:Z2"/>
    <mergeCell ref="AA2:AE2"/>
    <mergeCell ref="AF2:AJ2"/>
    <mergeCell ref="A5:U6"/>
    <mergeCell ref="V5:Z6"/>
    <mergeCell ref="AA5:AE6"/>
    <mergeCell ref="AF5:AJ6"/>
    <mergeCell ref="A7:U8"/>
    <mergeCell ref="V7:Z8"/>
    <mergeCell ref="AA7:AE8"/>
    <mergeCell ref="AF7:AJ8"/>
    <mergeCell ref="A9:U10"/>
    <mergeCell ref="V9:Z10"/>
    <mergeCell ref="AA9:AE10"/>
    <mergeCell ref="AF9:AJ10"/>
    <mergeCell ref="A11:U12"/>
    <mergeCell ref="V11:Z12"/>
    <mergeCell ref="AA11:AE12"/>
    <mergeCell ref="AF11:AJ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CC427-0665-48F5-A115-BBDE730367F4}">
  <sheetPr codeName="Sheet5"/>
  <dimension ref="A1:N45"/>
  <sheetViews>
    <sheetView showGridLines="0" showRowColHeaders="0" workbookViewId="0">
      <selection activeCell="C22" sqref="C22:H22"/>
    </sheetView>
  </sheetViews>
  <sheetFormatPr defaultRowHeight="15" x14ac:dyDescent="0.25"/>
  <cols>
    <col min="1" max="1" width="4.75" style="42" bestFit="1" customWidth="1"/>
    <col min="2" max="2" width="9.875" bestFit="1" customWidth="1"/>
    <col min="3" max="4" width="10" bestFit="1" customWidth="1"/>
    <col min="11" max="11" width="4.375" bestFit="1" customWidth="1"/>
    <col min="12" max="12" width="3.625" customWidth="1"/>
    <col min="13" max="13" width="8.625" bestFit="1" customWidth="1"/>
    <col min="14" max="14" width="4.625" bestFit="1" customWidth="1"/>
  </cols>
  <sheetData>
    <row r="1" spans="1:9" ht="15.75" thickBot="1" x14ac:dyDescent="0.3">
      <c r="A1" s="54" t="s">
        <v>21</v>
      </c>
      <c r="B1" s="260" t="s">
        <v>85</v>
      </c>
      <c r="C1" s="260"/>
      <c r="D1" s="260"/>
      <c r="E1" s="260"/>
      <c r="F1" s="260"/>
      <c r="G1" s="260"/>
      <c r="H1" s="260"/>
      <c r="I1" s="261"/>
    </row>
    <row r="2" spans="1:9" x14ac:dyDescent="0.25">
      <c r="A2" s="55">
        <v>0</v>
      </c>
      <c r="B2" s="1" t="s">
        <v>56</v>
      </c>
      <c r="C2" s="266" t="s">
        <v>130</v>
      </c>
      <c r="D2" s="266"/>
      <c r="E2" s="266"/>
      <c r="F2" s="266"/>
      <c r="G2" s="266"/>
      <c r="H2" s="266"/>
      <c r="I2" s="266"/>
    </row>
    <row r="3" spans="1:9" x14ac:dyDescent="0.25">
      <c r="A3" s="55">
        <v>1</v>
      </c>
      <c r="B3" s="2" t="s">
        <v>58</v>
      </c>
      <c r="C3" s="267" t="s">
        <v>129</v>
      </c>
      <c r="D3" s="267"/>
      <c r="E3" s="267"/>
      <c r="F3" s="267"/>
      <c r="G3" s="267"/>
      <c r="H3" s="267"/>
      <c r="I3" s="267"/>
    </row>
    <row r="4" spans="1:9" x14ac:dyDescent="0.25">
      <c r="A4" s="55">
        <v>2</v>
      </c>
      <c r="B4" s="1" t="s">
        <v>59</v>
      </c>
      <c r="C4" s="266" t="s">
        <v>286</v>
      </c>
      <c r="D4" s="266"/>
      <c r="E4" s="266"/>
      <c r="F4" s="266"/>
      <c r="G4" s="266"/>
      <c r="H4" s="266"/>
      <c r="I4" s="266"/>
    </row>
    <row r="5" spans="1:9" x14ac:dyDescent="0.25">
      <c r="A5" s="55">
        <v>3</v>
      </c>
      <c r="B5" s="2" t="s">
        <v>61</v>
      </c>
      <c r="C5" s="267" t="s">
        <v>284</v>
      </c>
      <c r="D5" s="267"/>
      <c r="E5" s="267"/>
      <c r="F5" s="267"/>
      <c r="G5" s="267"/>
      <c r="H5" s="267"/>
      <c r="I5" s="267"/>
    </row>
    <row r="6" spans="1:9" x14ac:dyDescent="0.25">
      <c r="A6" s="55">
        <v>4</v>
      </c>
      <c r="B6" s="1" t="s">
        <v>60</v>
      </c>
      <c r="C6" s="266" t="s">
        <v>287</v>
      </c>
      <c r="D6" s="266"/>
      <c r="E6" s="266"/>
      <c r="F6" s="266"/>
      <c r="G6" s="266"/>
      <c r="H6" s="266"/>
      <c r="I6" s="266"/>
    </row>
    <row r="7" spans="1:9" x14ac:dyDescent="0.25">
      <c r="A7" s="55">
        <v>5</v>
      </c>
      <c r="B7" s="2" t="s">
        <v>62</v>
      </c>
      <c r="C7" s="267" t="s">
        <v>71</v>
      </c>
      <c r="D7" s="267"/>
      <c r="E7" s="267"/>
      <c r="F7" s="267"/>
      <c r="G7" s="267"/>
      <c r="H7" s="267"/>
      <c r="I7" s="267"/>
    </row>
    <row r="8" spans="1:9" x14ac:dyDescent="0.25">
      <c r="A8" s="55">
        <v>9</v>
      </c>
      <c r="B8" s="1" t="s">
        <v>131</v>
      </c>
      <c r="C8" s="266" t="s">
        <v>70</v>
      </c>
      <c r="D8" s="266"/>
      <c r="E8" s="266"/>
      <c r="F8" s="266"/>
      <c r="G8" s="266"/>
      <c r="H8" s="266"/>
      <c r="I8" s="266"/>
    </row>
    <row r="9" spans="1:9" x14ac:dyDescent="0.25">
      <c r="A9" s="55">
        <v>14</v>
      </c>
      <c r="B9" s="2" t="s">
        <v>103</v>
      </c>
      <c r="C9" s="267" t="s">
        <v>69</v>
      </c>
      <c r="D9" s="267"/>
      <c r="E9" s="267"/>
      <c r="F9" s="267"/>
      <c r="G9" s="267"/>
      <c r="H9" s="267"/>
      <c r="I9" s="267"/>
    </row>
    <row r="10" spans="1:9" x14ac:dyDescent="0.25">
      <c r="A10" s="55">
        <v>23</v>
      </c>
      <c r="B10" s="1" t="s">
        <v>63</v>
      </c>
      <c r="C10" s="266" t="s">
        <v>68</v>
      </c>
      <c r="D10" s="266"/>
      <c r="E10" s="266"/>
      <c r="F10" s="266"/>
      <c r="G10" s="266"/>
      <c r="H10" s="266"/>
      <c r="I10" s="266"/>
    </row>
    <row r="11" spans="1:9" x14ac:dyDescent="0.25">
      <c r="A11" s="55">
        <v>37</v>
      </c>
      <c r="B11" s="2" t="s">
        <v>64</v>
      </c>
      <c r="C11" s="267" t="s">
        <v>72</v>
      </c>
      <c r="D11" s="267"/>
      <c r="E11" s="267"/>
      <c r="F11" s="267"/>
      <c r="G11" s="267"/>
      <c r="H11" s="267"/>
      <c r="I11" s="267"/>
    </row>
    <row r="12" spans="1:9" x14ac:dyDescent="0.25">
      <c r="A12" s="55">
        <v>60</v>
      </c>
      <c r="B12" s="1" t="s">
        <v>65</v>
      </c>
      <c r="C12" s="266" t="s">
        <v>285</v>
      </c>
      <c r="D12" s="266"/>
      <c r="E12" s="266"/>
      <c r="F12" s="266"/>
      <c r="G12" s="266"/>
      <c r="H12" s="266"/>
      <c r="I12" s="266"/>
    </row>
    <row r="13" spans="1:9" x14ac:dyDescent="0.25">
      <c r="A13" s="55">
        <v>97</v>
      </c>
      <c r="B13" s="2" t="s">
        <v>66</v>
      </c>
      <c r="C13" s="267" t="s">
        <v>73</v>
      </c>
      <c r="D13" s="267"/>
      <c r="E13" s="267"/>
      <c r="F13" s="267"/>
      <c r="G13" s="267"/>
      <c r="H13" s="267"/>
      <c r="I13" s="267"/>
    </row>
    <row r="14" spans="1:9" ht="15.75" thickBot="1" x14ac:dyDescent="0.3">
      <c r="A14" s="56">
        <v>157</v>
      </c>
      <c r="B14" s="3" t="s">
        <v>67</v>
      </c>
      <c r="C14" s="264" t="s">
        <v>74</v>
      </c>
      <c r="D14" s="264"/>
      <c r="E14" s="264"/>
      <c r="F14" s="264"/>
      <c r="G14" s="264"/>
      <c r="H14" s="264"/>
      <c r="I14" s="265"/>
    </row>
    <row r="15" spans="1:9" ht="4.5" customHeight="1" thickBot="1" x14ac:dyDescent="0.3"/>
    <row r="16" spans="1:9" ht="15.75" thickBot="1" x14ac:dyDescent="0.3">
      <c r="A16" s="57" t="s">
        <v>21</v>
      </c>
      <c r="B16" s="268" t="s">
        <v>82</v>
      </c>
      <c r="C16" s="268"/>
      <c r="D16" s="268"/>
      <c r="E16" s="268"/>
      <c r="F16" s="268"/>
      <c r="G16" s="268"/>
      <c r="H16" s="269"/>
    </row>
    <row r="17" spans="1:14" x14ac:dyDescent="0.25">
      <c r="A17" s="58">
        <v>0</v>
      </c>
      <c r="B17" s="1" t="s">
        <v>75</v>
      </c>
      <c r="C17" s="270" t="s">
        <v>76</v>
      </c>
      <c r="D17" s="270"/>
      <c r="E17" s="270"/>
      <c r="F17" s="270"/>
      <c r="G17" s="270"/>
      <c r="H17" s="266"/>
      <c r="N17" s="34"/>
    </row>
    <row r="18" spans="1:14" x14ac:dyDescent="0.25">
      <c r="A18" s="58">
        <v>1</v>
      </c>
      <c r="B18" s="6">
        <v>3</v>
      </c>
      <c r="C18" s="262" t="s">
        <v>121</v>
      </c>
      <c r="D18" s="262"/>
      <c r="E18" s="262"/>
      <c r="F18" s="262"/>
      <c r="G18" s="262"/>
      <c r="H18" s="263"/>
    </row>
    <row r="19" spans="1:14" x14ac:dyDescent="0.25">
      <c r="A19" s="58">
        <v>2</v>
      </c>
      <c r="B19" s="1">
        <v>6</v>
      </c>
      <c r="C19" s="270" t="s">
        <v>122</v>
      </c>
      <c r="D19" s="270"/>
      <c r="E19" s="270"/>
      <c r="F19" s="270"/>
      <c r="G19" s="270"/>
      <c r="H19" s="266"/>
    </row>
    <row r="20" spans="1:14" x14ac:dyDescent="0.25">
      <c r="A20" s="58">
        <v>3</v>
      </c>
      <c r="B20" s="6" t="s">
        <v>617</v>
      </c>
      <c r="C20" s="262" t="s">
        <v>618</v>
      </c>
      <c r="D20" s="262"/>
      <c r="E20" s="262"/>
      <c r="F20" s="262"/>
      <c r="G20" s="262"/>
      <c r="H20" s="263"/>
    </row>
    <row r="21" spans="1:14" x14ac:dyDescent="0.25">
      <c r="A21" s="58">
        <v>4</v>
      </c>
      <c r="B21" s="1" t="s">
        <v>80</v>
      </c>
      <c r="C21" s="270" t="s">
        <v>619</v>
      </c>
      <c r="D21" s="270"/>
      <c r="E21" s="270"/>
      <c r="F21" s="270"/>
      <c r="G21" s="270"/>
      <c r="H21" s="266"/>
    </row>
    <row r="22" spans="1:14" x14ac:dyDescent="0.25">
      <c r="A22" s="58">
        <v>6</v>
      </c>
      <c r="B22" s="6" t="s">
        <v>81</v>
      </c>
      <c r="C22" s="262" t="s">
        <v>123</v>
      </c>
      <c r="D22" s="262"/>
      <c r="E22" s="262"/>
      <c r="F22" s="262"/>
      <c r="G22" s="262"/>
      <c r="H22" s="263"/>
    </row>
    <row r="23" spans="1:14" x14ac:dyDescent="0.25">
      <c r="A23" s="58">
        <v>10</v>
      </c>
      <c r="B23" s="1" t="s">
        <v>119</v>
      </c>
      <c r="C23" s="270" t="s">
        <v>125</v>
      </c>
      <c r="D23" s="270"/>
      <c r="E23" s="270"/>
      <c r="F23" s="270"/>
      <c r="G23" s="270"/>
      <c r="H23" s="266"/>
    </row>
    <row r="24" spans="1:14" x14ac:dyDescent="0.25">
      <c r="A24" s="58">
        <v>16</v>
      </c>
      <c r="B24" s="6" t="s">
        <v>118</v>
      </c>
      <c r="C24" s="262" t="s">
        <v>288</v>
      </c>
      <c r="D24" s="262"/>
      <c r="E24" s="262"/>
      <c r="F24" s="262"/>
      <c r="G24" s="262"/>
      <c r="H24" s="263"/>
    </row>
    <row r="25" spans="1:14" x14ac:dyDescent="0.25">
      <c r="A25" s="58">
        <v>26</v>
      </c>
      <c r="B25" s="1" t="s">
        <v>79</v>
      </c>
      <c r="C25" s="270" t="s">
        <v>124</v>
      </c>
      <c r="D25" s="270"/>
      <c r="E25" s="270"/>
      <c r="F25" s="270"/>
      <c r="G25" s="270"/>
      <c r="H25" s="266"/>
    </row>
    <row r="26" spans="1:14" x14ac:dyDescent="0.25">
      <c r="A26" s="58">
        <v>42</v>
      </c>
      <c r="B26" s="6" t="s">
        <v>78</v>
      </c>
      <c r="C26" s="262" t="s">
        <v>621</v>
      </c>
      <c r="D26" s="262"/>
      <c r="E26" s="262"/>
      <c r="F26" s="262"/>
      <c r="G26" s="262"/>
      <c r="H26" s="263"/>
    </row>
    <row r="27" spans="1:14" x14ac:dyDescent="0.25">
      <c r="A27" s="58">
        <v>68</v>
      </c>
      <c r="B27" s="1" t="s">
        <v>77</v>
      </c>
      <c r="C27" s="270" t="s">
        <v>622</v>
      </c>
      <c r="D27" s="270"/>
      <c r="E27" s="270"/>
      <c r="F27" s="270"/>
      <c r="G27" s="270"/>
      <c r="H27" s="266"/>
    </row>
    <row r="28" spans="1:14" x14ac:dyDescent="0.25">
      <c r="A28" s="58">
        <v>110</v>
      </c>
      <c r="B28" s="6" t="s">
        <v>120</v>
      </c>
      <c r="C28" s="262" t="s">
        <v>126</v>
      </c>
      <c r="D28" s="262"/>
      <c r="E28" s="262"/>
      <c r="F28" s="262"/>
      <c r="G28" s="262"/>
      <c r="H28" s="263"/>
    </row>
    <row r="29" spans="1:14" ht="15.75" thickBot="1" x14ac:dyDescent="0.3">
      <c r="A29" s="59">
        <v>178</v>
      </c>
      <c r="B29" s="3" t="s">
        <v>127</v>
      </c>
      <c r="C29" s="264" t="s">
        <v>128</v>
      </c>
      <c r="D29" s="264"/>
      <c r="E29" s="264"/>
      <c r="F29" s="264"/>
      <c r="G29" s="264"/>
      <c r="H29" s="265"/>
    </row>
    <row r="30" spans="1:14" ht="4.5" customHeight="1" thickBot="1" x14ac:dyDescent="0.3"/>
    <row r="31" spans="1:14" x14ac:dyDescent="0.25">
      <c r="A31" s="257" t="s">
        <v>83</v>
      </c>
      <c r="B31" s="258"/>
      <c r="C31" s="258"/>
      <c r="D31" s="259"/>
    </row>
    <row r="32" spans="1:14" ht="15.75" thickBot="1" x14ac:dyDescent="0.3">
      <c r="A32" s="35" t="s">
        <v>21</v>
      </c>
      <c r="B32" s="64" t="s">
        <v>281</v>
      </c>
      <c r="C32" s="36" t="s">
        <v>282</v>
      </c>
      <c r="D32" s="40" t="s">
        <v>283</v>
      </c>
    </row>
    <row r="33" spans="1:4" x14ac:dyDescent="0.25">
      <c r="A33" s="60">
        <v>0</v>
      </c>
      <c r="B33" s="37" t="s">
        <v>84</v>
      </c>
      <c r="C33" s="37" t="s">
        <v>84</v>
      </c>
      <c r="D33" s="38" t="s">
        <v>84</v>
      </c>
    </row>
    <row r="34" spans="1:4" x14ac:dyDescent="0.25">
      <c r="A34" s="60">
        <v>1</v>
      </c>
      <c r="B34" s="37" t="s">
        <v>84</v>
      </c>
      <c r="C34" s="37" t="s">
        <v>84</v>
      </c>
      <c r="D34" s="41">
        <v>1</v>
      </c>
    </row>
    <row r="35" spans="1:4" x14ac:dyDescent="0.25">
      <c r="A35" s="60">
        <v>2</v>
      </c>
      <c r="B35" s="37" t="s">
        <v>84</v>
      </c>
      <c r="C35" s="4">
        <v>1</v>
      </c>
      <c r="D35" s="38">
        <v>2</v>
      </c>
    </row>
    <row r="36" spans="1:4" x14ac:dyDescent="0.25">
      <c r="A36" s="60">
        <v>3</v>
      </c>
      <c r="B36" s="4">
        <v>1</v>
      </c>
      <c r="C36" s="37" t="s">
        <v>84</v>
      </c>
      <c r="D36" s="38">
        <v>3</v>
      </c>
    </row>
    <row r="37" spans="1:4" x14ac:dyDescent="0.25">
      <c r="A37" s="60">
        <v>4</v>
      </c>
      <c r="B37" s="37" t="s">
        <v>84</v>
      </c>
      <c r="C37" s="4">
        <v>2</v>
      </c>
      <c r="D37" s="38">
        <v>4</v>
      </c>
    </row>
    <row r="38" spans="1:4" x14ac:dyDescent="0.25">
      <c r="A38" s="60">
        <v>5</v>
      </c>
      <c r="B38" s="37" t="s">
        <v>84</v>
      </c>
      <c r="C38" s="37" t="s">
        <v>84</v>
      </c>
      <c r="D38" s="38">
        <v>5</v>
      </c>
    </row>
    <row r="39" spans="1:4" x14ac:dyDescent="0.25">
      <c r="A39" s="60">
        <v>6</v>
      </c>
      <c r="B39" s="4">
        <v>2</v>
      </c>
      <c r="C39" s="4">
        <v>3</v>
      </c>
      <c r="D39" s="38">
        <v>6</v>
      </c>
    </row>
    <row r="40" spans="1:4" x14ac:dyDescent="0.25">
      <c r="A40" s="60">
        <v>7</v>
      </c>
      <c r="B40" s="37" t="s">
        <v>84</v>
      </c>
      <c r="C40" s="37" t="s">
        <v>84</v>
      </c>
      <c r="D40" s="38">
        <v>7</v>
      </c>
    </row>
    <row r="41" spans="1:4" x14ac:dyDescent="0.25">
      <c r="A41" s="60">
        <v>8</v>
      </c>
      <c r="B41" s="37" t="s">
        <v>84</v>
      </c>
      <c r="C41" s="4">
        <v>4</v>
      </c>
      <c r="D41" s="38">
        <v>8</v>
      </c>
    </row>
    <row r="42" spans="1:4" x14ac:dyDescent="0.25">
      <c r="A42" s="60">
        <v>9</v>
      </c>
      <c r="B42" s="4">
        <v>3</v>
      </c>
      <c r="C42" s="37" t="s">
        <v>84</v>
      </c>
      <c r="D42" s="38">
        <v>9</v>
      </c>
    </row>
    <row r="43" spans="1:4" x14ac:dyDescent="0.25">
      <c r="A43" s="60">
        <v>10</v>
      </c>
      <c r="B43" s="37" t="s">
        <v>84</v>
      </c>
      <c r="C43" s="4">
        <v>5</v>
      </c>
      <c r="D43" s="38">
        <v>10</v>
      </c>
    </row>
    <row r="44" spans="1:4" x14ac:dyDescent="0.25">
      <c r="A44" s="60">
        <v>11</v>
      </c>
      <c r="B44" s="37" t="s">
        <v>84</v>
      </c>
      <c r="C44" s="37" t="s">
        <v>84</v>
      </c>
      <c r="D44" s="38">
        <v>11</v>
      </c>
    </row>
    <row r="45" spans="1:4" ht="15.75" thickBot="1" x14ac:dyDescent="0.3">
      <c r="A45" s="35">
        <v>12</v>
      </c>
      <c r="B45" s="5">
        <v>4</v>
      </c>
      <c r="C45" s="5">
        <v>6</v>
      </c>
      <c r="D45" s="39">
        <v>12</v>
      </c>
    </row>
  </sheetData>
  <mergeCells count="29">
    <mergeCell ref="C29:H29"/>
    <mergeCell ref="B16:H16"/>
    <mergeCell ref="C21:H21"/>
    <mergeCell ref="C22:H22"/>
    <mergeCell ref="C23:H23"/>
    <mergeCell ref="C24:H24"/>
    <mergeCell ref="C25:H25"/>
    <mergeCell ref="C17:H17"/>
    <mergeCell ref="C18:H18"/>
    <mergeCell ref="C19:H19"/>
    <mergeCell ref="C20:H20"/>
    <mergeCell ref="C27:H27"/>
    <mergeCell ref="C28:H28"/>
    <mergeCell ref="A31:D31"/>
    <mergeCell ref="B1:I1"/>
    <mergeCell ref="C26:H26"/>
    <mergeCell ref="C14:I14"/>
    <mergeCell ref="C2:I2"/>
    <mergeCell ref="C3:I3"/>
    <mergeCell ref="C4:I4"/>
    <mergeCell ref="C5:I5"/>
    <mergeCell ref="C6:I6"/>
    <mergeCell ref="C7:I7"/>
    <mergeCell ref="C8:I8"/>
    <mergeCell ref="C9:I9"/>
    <mergeCell ref="C10:I10"/>
    <mergeCell ref="C11:I11"/>
    <mergeCell ref="C12:I12"/>
    <mergeCell ref="C13:I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850D-1D0D-4F4A-94AB-D3CDA350686C}">
  <dimension ref="A1:C75"/>
  <sheetViews>
    <sheetView workbookViewId="0"/>
  </sheetViews>
  <sheetFormatPr defaultRowHeight="15" x14ac:dyDescent="0.25"/>
  <cols>
    <col min="1" max="1" width="19.125" bestFit="1" customWidth="1"/>
    <col min="2" max="2" width="8.625" style="66"/>
    <col min="3" max="3" width="116.875" bestFit="1" customWidth="1"/>
  </cols>
  <sheetData>
    <row r="1" spans="1:3" x14ac:dyDescent="0.25">
      <c r="A1" t="s">
        <v>289</v>
      </c>
      <c r="B1" s="66" t="s">
        <v>21</v>
      </c>
      <c r="C1" t="s">
        <v>354</v>
      </c>
    </row>
    <row r="2" spans="1:3" x14ac:dyDescent="0.25">
      <c r="A2" t="s">
        <v>290</v>
      </c>
      <c r="B2" s="66" t="s">
        <v>366</v>
      </c>
      <c r="C2" t="s">
        <v>367</v>
      </c>
    </row>
    <row r="3" spans="1:3" x14ac:dyDescent="0.25">
      <c r="A3" t="s">
        <v>320</v>
      </c>
      <c r="B3" s="66" t="s">
        <v>359</v>
      </c>
      <c r="C3" t="s">
        <v>405</v>
      </c>
    </row>
    <row r="4" spans="1:3" x14ac:dyDescent="0.25">
      <c r="A4" t="s">
        <v>291</v>
      </c>
      <c r="B4" s="66" t="s">
        <v>377</v>
      </c>
      <c r="C4" t="s">
        <v>355</v>
      </c>
    </row>
    <row r="5" spans="1:3" x14ac:dyDescent="0.25">
      <c r="A5" t="s">
        <v>292</v>
      </c>
      <c r="B5" s="66" t="s">
        <v>358</v>
      </c>
      <c r="C5" t="s">
        <v>356</v>
      </c>
    </row>
    <row r="6" spans="1:3" x14ac:dyDescent="0.25">
      <c r="A6" t="s">
        <v>321</v>
      </c>
      <c r="B6" s="66" t="s">
        <v>359</v>
      </c>
      <c r="C6" t="s">
        <v>406</v>
      </c>
    </row>
    <row r="7" spans="1:3" x14ac:dyDescent="0.25">
      <c r="A7" t="s">
        <v>293</v>
      </c>
      <c r="B7" s="66" t="s">
        <v>359</v>
      </c>
      <c r="C7" t="s">
        <v>360</v>
      </c>
    </row>
    <row r="8" spans="1:3" x14ac:dyDescent="0.25">
      <c r="A8" t="s">
        <v>294</v>
      </c>
      <c r="B8" s="66" t="s">
        <v>366</v>
      </c>
      <c r="C8" t="s">
        <v>368</v>
      </c>
    </row>
    <row r="9" spans="1:3" x14ac:dyDescent="0.25">
      <c r="A9" t="s">
        <v>407</v>
      </c>
      <c r="B9" s="66" t="s">
        <v>412</v>
      </c>
      <c r="C9" t="s">
        <v>413</v>
      </c>
    </row>
    <row r="10" spans="1:3" x14ac:dyDescent="0.25">
      <c r="A10" t="s">
        <v>295</v>
      </c>
      <c r="B10" s="66" t="s">
        <v>357</v>
      </c>
      <c r="C10" t="s">
        <v>364</v>
      </c>
    </row>
    <row r="11" spans="1:3" x14ac:dyDescent="0.25">
      <c r="A11" t="s">
        <v>296</v>
      </c>
      <c r="B11" s="66" t="s">
        <v>359</v>
      </c>
      <c r="C11" t="s">
        <v>365</v>
      </c>
    </row>
    <row r="12" spans="1:3" x14ac:dyDescent="0.25">
      <c r="A12" t="s">
        <v>410</v>
      </c>
      <c r="B12" s="66" t="s">
        <v>408</v>
      </c>
      <c r="C12" t="s">
        <v>409</v>
      </c>
    </row>
    <row r="13" spans="1:3" x14ac:dyDescent="0.25">
      <c r="A13" t="s">
        <v>322</v>
      </c>
      <c r="B13" s="66" t="s">
        <v>408</v>
      </c>
      <c r="C13" t="s">
        <v>414</v>
      </c>
    </row>
    <row r="14" spans="1:3" x14ac:dyDescent="0.25">
      <c r="A14" t="s">
        <v>297</v>
      </c>
      <c r="B14" s="66" t="s">
        <v>358</v>
      </c>
      <c r="C14" t="s">
        <v>369</v>
      </c>
    </row>
    <row r="15" spans="1:3" x14ac:dyDescent="0.25">
      <c r="A15" t="s">
        <v>298</v>
      </c>
      <c r="B15" s="66" t="s">
        <v>359</v>
      </c>
      <c r="C15" t="s">
        <v>370</v>
      </c>
    </row>
    <row r="16" spans="1:3" x14ac:dyDescent="0.25">
      <c r="A16" t="s">
        <v>323</v>
      </c>
      <c r="B16" s="66" t="s">
        <v>415</v>
      </c>
      <c r="C16" t="s">
        <v>416</v>
      </c>
    </row>
    <row r="17" spans="1:3" x14ac:dyDescent="0.25">
      <c r="A17" t="s">
        <v>299</v>
      </c>
      <c r="B17" s="66" t="s">
        <v>371</v>
      </c>
      <c r="C17" t="s">
        <v>374</v>
      </c>
    </row>
    <row r="18" spans="1:3" x14ac:dyDescent="0.25">
      <c r="A18" t="s">
        <v>324</v>
      </c>
      <c r="B18" s="66" t="s">
        <v>417</v>
      </c>
      <c r="C18" t="s">
        <v>418</v>
      </c>
    </row>
    <row r="19" spans="1:3" x14ac:dyDescent="0.25">
      <c r="A19" t="s">
        <v>300</v>
      </c>
      <c r="B19" s="66" t="s">
        <v>358</v>
      </c>
      <c r="C19" t="s">
        <v>372</v>
      </c>
    </row>
    <row r="20" spans="1:3" x14ac:dyDescent="0.25">
      <c r="A20" t="s">
        <v>411</v>
      </c>
      <c r="B20" s="66" t="s">
        <v>373</v>
      </c>
      <c r="C20" t="s">
        <v>397</v>
      </c>
    </row>
    <row r="21" spans="1:3" x14ac:dyDescent="0.25">
      <c r="A21" t="s">
        <v>325</v>
      </c>
      <c r="B21" s="66" t="s">
        <v>417</v>
      </c>
      <c r="C21" t="s">
        <v>419</v>
      </c>
    </row>
    <row r="22" spans="1:3" x14ac:dyDescent="0.25">
      <c r="A22" t="s">
        <v>326</v>
      </c>
      <c r="B22" s="66" t="s">
        <v>420</v>
      </c>
      <c r="C22" t="s">
        <v>421</v>
      </c>
    </row>
    <row r="23" spans="1:3" x14ac:dyDescent="0.25">
      <c r="A23" t="s">
        <v>327</v>
      </c>
      <c r="B23" s="66" t="s">
        <v>359</v>
      </c>
      <c r="C23" t="s">
        <v>422</v>
      </c>
    </row>
    <row r="24" spans="1:3" x14ac:dyDescent="0.25">
      <c r="A24" t="s">
        <v>328</v>
      </c>
      <c r="B24" s="66" t="s">
        <v>412</v>
      </c>
      <c r="C24" t="s">
        <v>423</v>
      </c>
    </row>
    <row r="25" spans="1:3" x14ac:dyDescent="0.25">
      <c r="A25" t="s">
        <v>301</v>
      </c>
      <c r="B25" s="66" t="s">
        <v>373</v>
      </c>
      <c r="C25" t="s">
        <v>375</v>
      </c>
    </row>
    <row r="26" spans="1:3" x14ac:dyDescent="0.25">
      <c r="A26" t="s">
        <v>329</v>
      </c>
      <c r="B26" s="66" t="s">
        <v>424</v>
      </c>
      <c r="C26" t="s">
        <v>425</v>
      </c>
    </row>
    <row r="27" spans="1:3" x14ac:dyDescent="0.25">
      <c r="A27" t="s">
        <v>426</v>
      </c>
      <c r="B27" s="66" t="s">
        <v>408</v>
      </c>
      <c r="C27" t="s">
        <v>427</v>
      </c>
    </row>
    <row r="28" spans="1:3" x14ac:dyDescent="0.25">
      <c r="A28" t="s">
        <v>379</v>
      </c>
      <c r="B28" s="66" t="s">
        <v>373</v>
      </c>
      <c r="C28" t="s">
        <v>380</v>
      </c>
    </row>
    <row r="29" spans="1:3" x14ac:dyDescent="0.25">
      <c r="A29" t="s">
        <v>362</v>
      </c>
      <c r="B29" s="66" t="s">
        <v>358</v>
      </c>
      <c r="C29" t="s">
        <v>363</v>
      </c>
    </row>
    <row r="30" spans="1:3" x14ac:dyDescent="0.25">
      <c r="A30" t="s">
        <v>330</v>
      </c>
      <c r="B30" s="66" t="s">
        <v>417</v>
      </c>
      <c r="C30" t="s">
        <v>428</v>
      </c>
    </row>
    <row r="31" spans="1:3" x14ac:dyDescent="0.25">
      <c r="A31" t="s">
        <v>302</v>
      </c>
      <c r="B31" s="66" t="s">
        <v>377</v>
      </c>
      <c r="C31" t="s">
        <v>376</v>
      </c>
    </row>
    <row r="32" spans="1:3" x14ac:dyDescent="0.25">
      <c r="A32" t="s">
        <v>331</v>
      </c>
      <c r="B32" s="66" t="s">
        <v>429</v>
      </c>
      <c r="C32" t="s">
        <v>430</v>
      </c>
    </row>
    <row r="33" spans="1:3" x14ac:dyDescent="0.25">
      <c r="A33" t="s">
        <v>440</v>
      </c>
      <c r="B33" s="66" t="s">
        <v>429</v>
      </c>
      <c r="C33" t="s">
        <v>441</v>
      </c>
    </row>
    <row r="34" spans="1:3" x14ac:dyDescent="0.25">
      <c r="A34" t="s">
        <v>304</v>
      </c>
      <c r="B34" s="66" t="s">
        <v>357</v>
      </c>
      <c r="C34" t="s">
        <v>381</v>
      </c>
    </row>
    <row r="35" spans="1:3" x14ac:dyDescent="0.25">
      <c r="A35" t="s">
        <v>305</v>
      </c>
      <c r="B35" s="66" t="s">
        <v>357</v>
      </c>
      <c r="C35" t="s">
        <v>382</v>
      </c>
    </row>
    <row r="36" spans="1:3" x14ac:dyDescent="0.25">
      <c r="A36" t="s">
        <v>306</v>
      </c>
      <c r="B36" s="66" t="s">
        <v>357</v>
      </c>
      <c r="C36" t="s">
        <v>383</v>
      </c>
    </row>
    <row r="37" spans="1:3" x14ac:dyDescent="0.25">
      <c r="A37" t="s">
        <v>307</v>
      </c>
      <c r="B37" s="66" t="s">
        <v>371</v>
      </c>
      <c r="C37" t="s">
        <v>384</v>
      </c>
    </row>
    <row r="38" spans="1:3" x14ac:dyDescent="0.25">
      <c r="A38" t="s">
        <v>332</v>
      </c>
      <c r="B38" s="66" t="s">
        <v>417</v>
      </c>
      <c r="C38" t="s">
        <v>433</v>
      </c>
    </row>
    <row r="39" spans="1:3" x14ac:dyDescent="0.25">
      <c r="A39" t="s">
        <v>308</v>
      </c>
      <c r="B39" s="66" t="s">
        <v>371</v>
      </c>
      <c r="C39" t="s">
        <v>385</v>
      </c>
    </row>
    <row r="40" spans="1:3" x14ac:dyDescent="0.25">
      <c r="A40" t="s">
        <v>309</v>
      </c>
      <c r="B40" s="66" t="s">
        <v>358</v>
      </c>
      <c r="C40" t="s">
        <v>386</v>
      </c>
    </row>
    <row r="41" spans="1:3" x14ac:dyDescent="0.25">
      <c r="A41" t="s">
        <v>333</v>
      </c>
      <c r="B41" s="66" t="s">
        <v>415</v>
      </c>
      <c r="C41" t="s">
        <v>434</v>
      </c>
    </row>
    <row r="42" spans="1:3" x14ac:dyDescent="0.25">
      <c r="A42" t="s">
        <v>334</v>
      </c>
      <c r="B42" s="66" t="s">
        <v>359</v>
      </c>
      <c r="C42" t="s">
        <v>435</v>
      </c>
    </row>
    <row r="43" spans="1:3" x14ac:dyDescent="0.25">
      <c r="A43" t="s">
        <v>335</v>
      </c>
      <c r="B43" s="66" t="s">
        <v>415</v>
      </c>
      <c r="C43" t="s">
        <v>436</v>
      </c>
    </row>
    <row r="44" spans="1:3" x14ac:dyDescent="0.25">
      <c r="A44" t="s">
        <v>336</v>
      </c>
      <c r="B44" s="66" t="s">
        <v>359</v>
      </c>
      <c r="C44" t="s">
        <v>437</v>
      </c>
    </row>
    <row r="45" spans="1:3" x14ac:dyDescent="0.25">
      <c r="A45" t="s">
        <v>431</v>
      </c>
      <c r="B45" s="66" t="s">
        <v>415</v>
      </c>
      <c r="C45" t="s">
        <v>432</v>
      </c>
    </row>
    <row r="46" spans="1:3" x14ac:dyDescent="0.25">
      <c r="A46" t="s">
        <v>337</v>
      </c>
      <c r="B46" s="66" t="s">
        <v>415</v>
      </c>
      <c r="C46" t="s">
        <v>438</v>
      </c>
    </row>
    <row r="47" spans="1:3" x14ac:dyDescent="0.25">
      <c r="A47" t="s">
        <v>338</v>
      </c>
      <c r="B47" s="66" t="s">
        <v>359</v>
      </c>
      <c r="C47" t="s">
        <v>439</v>
      </c>
    </row>
    <row r="48" spans="1:3" x14ac:dyDescent="0.25">
      <c r="A48" t="s">
        <v>339</v>
      </c>
      <c r="B48" s="66" t="s">
        <v>408</v>
      </c>
      <c r="C48" t="s">
        <v>442</v>
      </c>
    </row>
    <row r="49" spans="1:3" x14ac:dyDescent="0.25">
      <c r="A49" t="s">
        <v>340</v>
      </c>
      <c r="B49" s="66" t="s">
        <v>359</v>
      </c>
      <c r="C49" t="s">
        <v>443</v>
      </c>
    </row>
    <row r="50" spans="1:3" x14ac:dyDescent="0.25">
      <c r="A50" t="s">
        <v>388</v>
      </c>
      <c r="B50" s="66" t="s">
        <v>371</v>
      </c>
      <c r="C50" t="s">
        <v>387</v>
      </c>
    </row>
    <row r="51" spans="1:3" x14ac:dyDescent="0.25">
      <c r="A51" t="s">
        <v>310</v>
      </c>
      <c r="B51" s="66" t="s">
        <v>377</v>
      </c>
      <c r="C51" t="s">
        <v>389</v>
      </c>
    </row>
    <row r="52" spans="1:3" x14ac:dyDescent="0.25">
      <c r="A52" t="s">
        <v>311</v>
      </c>
      <c r="B52" s="66" t="s">
        <v>390</v>
      </c>
      <c r="C52" t="s">
        <v>391</v>
      </c>
    </row>
    <row r="53" spans="1:3" x14ac:dyDescent="0.25">
      <c r="A53" t="s">
        <v>392</v>
      </c>
      <c r="B53" s="66" t="s">
        <v>373</v>
      </c>
      <c r="C53" t="s">
        <v>396</v>
      </c>
    </row>
    <row r="54" spans="1:3" x14ac:dyDescent="0.25">
      <c r="A54" t="s">
        <v>312</v>
      </c>
      <c r="B54" s="66" t="s">
        <v>371</v>
      </c>
      <c r="C54" t="s">
        <v>393</v>
      </c>
    </row>
    <row r="55" spans="1:3" x14ac:dyDescent="0.25">
      <c r="A55" t="s">
        <v>303</v>
      </c>
      <c r="B55" s="66" t="s">
        <v>377</v>
      </c>
      <c r="C55" t="s">
        <v>378</v>
      </c>
    </row>
    <row r="56" spans="1:3" x14ac:dyDescent="0.25">
      <c r="A56" t="s">
        <v>313</v>
      </c>
      <c r="B56" s="66" t="s">
        <v>394</v>
      </c>
      <c r="C56" t="s">
        <v>395</v>
      </c>
    </row>
    <row r="57" spans="1:3" x14ac:dyDescent="0.25">
      <c r="A57" t="s">
        <v>341</v>
      </c>
      <c r="B57" s="66" t="s">
        <v>415</v>
      </c>
      <c r="C57" t="s">
        <v>444</v>
      </c>
    </row>
    <row r="58" spans="1:3" x14ac:dyDescent="0.25">
      <c r="A58" t="s">
        <v>342</v>
      </c>
      <c r="B58" s="66" t="s">
        <v>420</v>
      </c>
      <c r="C58" t="s">
        <v>445</v>
      </c>
    </row>
    <row r="59" spans="1:3" x14ac:dyDescent="0.25">
      <c r="A59" t="s">
        <v>343</v>
      </c>
      <c r="B59" s="66" t="s">
        <v>412</v>
      </c>
      <c r="C59" t="s">
        <v>446</v>
      </c>
    </row>
    <row r="60" spans="1:3" x14ac:dyDescent="0.25">
      <c r="A60" t="s">
        <v>344</v>
      </c>
      <c r="B60" s="66" t="s">
        <v>415</v>
      </c>
      <c r="C60" t="s">
        <v>447</v>
      </c>
    </row>
    <row r="61" spans="1:3" x14ac:dyDescent="0.25">
      <c r="A61" t="s">
        <v>314</v>
      </c>
      <c r="B61" s="66" t="s">
        <v>357</v>
      </c>
      <c r="C61" t="s">
        <v>398</v>
      </c>
    </row>
    <row r="62" spans="1:3" x14ac:dyDescent="0.25">
      <c r="A62" t="s">
        <v>345</v>
      </c>
      <c r="B62" s="66" t="s">
        <v>448</v>
      </c>
      <c r="C62" t="s">
        <v>449</v>
      </c>
    </row>
    <row r="63" spans="1:3" x14ac:dyDescent="0.25">
      <c r="A63" t="s">
        <v>346</v>
      </c>
      <c r="B63" s="66" t="s">
        <v>420</v>
      </c>
      <c r="C63" t="s">
        <v>450</v>
      </c>
    </row>
    <row r="64" spans="1:3" x14ac:dyDescent="0.25">
      <c r="A64" t="s">
        <v>315</v>
      </c>
      <c r="B64" s="66" t="s">
        <v>358</v>
      </c>
      <c r="C64" t="s">
        <v>399</v>
      </c>
    </row>
    <row r="65" spans="1:3" x14ac:dyDescent="0.25">
      <c r="A65" t="s">
        <v>316</v>
      </c>
      <c r="B65" s="66" t="s">
        <v>377</v>
      </c>
      <c r="C65" t="s">
        <v>400</v>
      </c>
    </row>
    <row r="66" spans="1:3" x14ac:dyDescent="0.25">
      <c r="A66" t="s">
        <v>347</v>
      </c>
      <c r="B66" s="66" t="s">
        <v>420</v>
      </c>
      <c r="C66" t="s">
        <v>451</v>
      </c>
    </row>
    <row r="67" spans="1:3" x14ac:dyDescent="0.25">
      <c r="A67" t="s">
        <v>348</v>
      </c>
      <c r="B67" s="66" t="s">
        <v>359</v>
      </c>
      <c r="C67" t="s">
        <v>452</v>
      </c>
    </row>
    <row r="68" spans="1:3" x14ac:dyDescent="0.25">
      <c r="A68" t="s">
        <v>349</v>
      </c>
      <c r="B68" s="66" t="s">
        <v>420</v>
      </c>
      <c r="C68" t="s">
        <v>453</v>
      </c>
    </row>
    <row r="69" spans="1:3" x14ac:dyDescent="0.25">
      <c r="A69" t="s">
        <v>350</v>
      </c>
      <c r="B69" s="66" t="s">
        <v>412</v>
      </c>
      <c r="C69" t="s">
        <v>454</v>
      </c>
    </row>
    <row r="70" spans="1:3" x14ac:dyDescent="0.25">
      <c r="A70" t="s">
        <v>317</v>
      </c>
      <c r="B70" s="66" t="s">
        <v>401</v>
      </c>
      <c r="C70" t="s">
        <v>402</v>
      </c>
    </row>
    <row r="71" spans="1:3" x14ac:dyDescent="0.25">
      <c r="A71" t="s">
        <v>318</v>
      </c>
      <c r="B71" s="66" t="s">
        <v>357</v>
      </c>
      <c r="C71" t="s">
        <v>403</v>
      </c>
    </row>
    <row r="72" spans="1:3" x14ac:dyDescent="0.25">
      <c r="A72" t="s">
        <v>319</v>
      </c>
      <c r="B72" s="66" t="s">
        <v>377</v>
      </c>
      <c r="C72" t="s">
        <v>404</v>
      </c>
    </row>
    <row r="73" spans="1:3" x14ac:dyDescent="0.25">
      <c r="A73" t="s">
        <v>351</v>
      </c>
      <c r="B73" s="66" t="s">
        <v>412</v>
      </c>
      <c r="C73" t="s">
        <v>455</v>
      </c>
    </row>
    <row r="74" spans="1:3" x14ac:dyDescent="0.25">
      <c r="A74" t="s">
        <v>352</v>
      </c>
      <c r="B74" s="66" t="s">
        <v>359</v>
      </c>
      <c r="C74" t="s">
        <v>456</v>
      </c>
    </row>
    <row r="75" spans="1:3" x14ac:dyDescent="0.25">
      <c r="A75" t="s">
        <v>353</v>
      </c>
      <c r="B75" s="66" t="s">
        <v>408</v>
      </c>
      <c r="C75" t="s">
        <v>457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104E-7B85-491B-B0F5-4F9424120DA9}">
  <dimension ref="A1:W77"/>
  <sheetViews>
    <sheetView topLeftCell="A7" workbookViewId="0">
      <selection activeCell="A7" sqref="A7:C23"/>
    </sheetView>
  </sheetViews>
  <sheetFormatPr defaultRowHeight="15" x14ac:dyDescent="0.25"/>
  <cols>
    <col min="1" max="1" width="21.375" bestFit="1" customWidth="1"/>
    <col min="2" max="2" width="13.875" bestFit="1" customWidth="1"/>
    <col min="3" max="3" width="8.25" customWidth="1"/>
    <col min="4" max="4" width="84.25" bestFit="1" customWidth="1"/>
    <col min="5" max="5" width="1.5" customWidth="1"/>
    <col min="6" max="6" width="7.25" bestFit="1" customWidth="1"/>
    <col min="7" max="7" width="6.75" bestFit="1" customWidth="1"/>
    <col min="8" max="8" width="7.375" bestFit="1" customWidth="1"/>
    <col min="9" max="9" width="12.375" bestFit="1" customWidth="1"/>
    <col min="10" max="10" width="8.25" customWidth="1"/>
  </cols>
  <sheetData>
    <row r="1" spans="1:23" x14ac:dyDescent="0.25">
      <c r="A1" t="s">
        <v>460</v>
      </c>
      <c r="B1" t="s">
        <v>459</v>
      </c>
      <c r="C1" t="s">
        <v>117</v>
      </c>
      <c r="D1" t="s">
        <v>354</v>
      </c>
      <c r="F1" t="s">
        <v>54</v>
      </c>
      <c r="G1" t="s">
        <v>21</v>
      </c>
      <c r="H1" t="s">
        <v>142</v>
      </c>
      <c r="I1" s="65" t="s">
        <v>116</v>
      </c>
      <c r="K1" s="63" t="s">
        <v>143</v>
      </c>
      <c r="L1" s="63" t="s">
        <v>144</v>
      </c>
      <c r="M1" s="63" t="s">
        <v>145</v>
      </c>
      <c r="N1" s="63" t="s">
        <v>153</v>
      </c>
      <c r="O1" s="63" t="s">
        <v>155</v>
      </c>
      <c r="P1" s="63" t="s">
        <v>154</v>
      </c>
      <c r="Q1" s="63" t="s">
        <v>146</v>
      </c>
      <c r="R1" s="63" t="s">
        <v>147</v>
      </c>
      <c r="S1" s="63" t="s">
        <v>148</v>
      </c>
      <c r="T1" s="63" t="s">
        <v>149</v>
      </c>
      <c r="U1" s="63" t="s">
        <v>150</v>
      </c>
      <c r="V1" s="63" t="s">
        <v>151</v>
      </c>
      <c r="W1" s="63" t="s">
        <v>152</v>
      </c>
    </row>
    <row r="2" spans="1:23" x14ac:dyDescent="0.25">
      <c r="A2" t="s">
        <v>521</v>
      </c>
      <c r="B2" t="s">
        <v>41</v>
      </c>
      <c r="C2" t="s">
        <v>3</v>
      </c>
      <c r="D2" t="s">
        <v>553</v>
      </c>
      <c r="F2" s="61">
        <v>0</v>
      </c>
      <c r="G2" s="61">
        <v>0</v>
      </c>
      <c r="H2" s="61">
        <v>0</v>
      </c>
      <c r="I2" s="61" t="s">
        <v>458</v>
      </c>
      <c r="K2" s="63">
        <v>0</v>
      </c>
      <c r="L2" s="63">
        <v>1</v>
      </c>
      <c r="M2" s="63">
        <v>2</v>
      </c>
      <c r="N2" s="63">
        <v>3</v>
      </c>
      <c r="O2" s="63">
        <v>4</v>
      </c>
      <c r="P2" s="63">
        <v>5</v>
      </c>
      <c r="Q2" s="63">
        <v>6</v>
      </c>
      <c r="R2" s="63">
        <v>7</v>
      </c>
      <c r="S2" s="63">
        <v>8</v>
      </c>
      <c r="T2" s="63">
        <v>9</v>
      </c>
      <c r="U2" s="63">
        <v>10</v>
      </c>
      <c r="V2" s="63">
        <v>11</v>
      </c>
      <c r="W2" s="63">
        <v>12</v>
      </c>
    </row>
    <row r="3" spans="1:23" x14ac:dyDescent="0.25">
      <c r="A3" t="s">
        <v>496</v>
      </c>
      <c r="B3" t="s">
        <v>38</v>
      </c>
      <c r="C3" t="s">
        <v>5</v>
      </c>
      <c r="D3" t="s">
        <v>596</v>
      </c>
      <c r="F3" s="61">
        <v>1</v>
      </c>
      <c r="G3" s="61">
        <v>1</v>
      </c>
      <c r="H3" s="61">
        <f t="shared" ref="H3:H14" si="0">G3+H2</f>
        <v>1</v>
      </c>
      <c r="I3" s="61" t="s">
        <v>104</v>
      </c>
    </row>
    <row r="4" spans="1:23" x14ac:dyDescent="0.25">
      <c r="A4" t="s">
        <v>490</v>
      </c>
      <c r="B4" t="s">
        <v>36</v>
      </c>
      <c r="C4" t="s">
        <v>5</v>
      </c>
      <c r="D4" t="s">
        <v>585</v>
      </c>
      <c r="F4" s="61">
        <v>2</v>
      </c>
      <c r="G4" s="61">
        <v>2</v>
      </c>
      <c r="H4" s="61">
        <f t="shared" si="0"/>
        <v>3</v>
      </c>
      <c r="I4" s="61" t="s">
        <v>105</v>
      </c>
    </row>
    <row r="5" spans="1:23" x14ac:dyDescent="0.25">
      <c r="A5" t="s">
        <v>488</v>
      </c>
      <c r="B5" t="s">
        <v>36</v>
      </c>
      <c r="C5" t="s">
        <v>5</v>
      </c>
      <c r="D5" t="s">
        <v>586</v>
      </c>
      <c r="F5" s="61">
        <v>3</v>
      </c>
      <c r="G5" s="61">
        <v>3</v>
      </c>
      <c r="H5" s="61">
        <f t="shared" si="0"/>
        <v>6</v>
      </c>
      <c r="I5" s="61" t="s">
        <v>106</v>
      </c>
    </row>
    <row r="6" spans="1:23" x14ac:dyDescent="0.25">
      <c r="A6" t="s">
        <v>469</v>
      </c>
      <c r="B6" t="s">
        <v>33</v>
      </c>
      <c r="C6" t="s">
        <v>5</v>
      </c>
      <c r="D6" t="s">
        <v>571</v>
      </c>
      <c r="F6" s="61">
        <v>4</v>
      </c>
      <c r="G6" s="61">
        <v>4</v>
      </c>
      <c r="H6" s="61">
        <f t="shared" si="0"/>
        <v>10</v>
      </c>
      <c r="I6" s="61" t="s">
        <v>107</v>
      </c>
    </row>
    <row r="7" spans="1:23" x14ac:dyDescent="0.25">
      <c r="A7" t="s">
        <v>467</v>
      </c>
      <c r="B7" t="s">
        <v>32</v>
      </c>
      <c r="C7" t="s">
        <v>5</v>
      </c>
      <c r="D7" t="s">
        <v>564</v>
      </c>
      <c r="F7" s="61">
        <v>5</v>
      </c>
      <c r="G7" s="61">
        <v>5</v>
      </c>
      <c r="H7" s="61">
        <f t="shared" si="0"/>
        <v>15</v>
      </c>
      <c r="I7" s="61" t="s">
        <v>108</v>
      </c>
    </row>
    <row r="8" spans="1:23" x14ac:dyDescent="0.25">
      <c r="A8" t="s">
        <v>482</v>
      </c>
      <c r="B8" t="s">
        <v>32</v>
      </c>
      <c r="C8" t="s">
        <v>5</v>
      </c>
      <c r="D8" t="s">
        <v>565</v>
      </c>
      <c r="F8" s="61">
        <v>6</v>
      </c>
      <c r="G8" s="61">
        <v>6</v>
      </c>
      <c r="H8" s="61">
        <f t="shared" si="0"/>
        <v>21</v>
      </c>
      <c r="I8" s="61" t="s">
        <v>109</v>
      </c>
    </row>
    <row r="9" spans="1:23" x14ac:dyDescent="0.25">
      <c r="A9" t="s">
        <v>527</v>
      </c>
      <c r="B9" t="s">
        <v>526</v>
      </c>
      <c r="C9" t="s">
        <v>3</v>
      </c>
      <c r="D9" t="s">
        <v>545</v>
      </c>
      <c r="F9" s="61">
        <v>7</v>
      </c>
      <c r="G9" s="61">
        <v>7</v>
      </c>
      <c r="H9" s="61">
        <f t="shared" si="0"/>
        <v>28</v>
      </c>
      <c r="I9" s="61" t="s">
        <v>110</v>
      </c>
    </row>
    <row r="10" spans="1:23" x14ac:dyDescent="0.25">
      <c r="A10" t="s">
        <v>495</v>
      </c>
      <c r="B10" t="s">
        <v>37</v>
      </c>
      <c r="C10" t="s">
        <v>5</v>
      </c>
      <c r="D10" t="s">
        <v>595</v>
      </c>
      <c r="F10" s="61">
        <v>8</v>
      </c>
      <c r="G10" s="61">
        <v>8</v>
      </c>
      <c r="H10" s="61">
        <f t="shared" si="0"/>
        <v>36</v>
      </c>
      <c r="I10" s="61" t="s">
        <v>111</v>
      </c>
    </row>
    <row r="11" spans="1:23" x14ac:dyDescent="0.25">
      <c r="A11" t="s">
        <v>532</v>
      </c>
      <c r="B11" t="s">
        <v>535</v>
      </c>
      <c r="C11" t="s">
        <v>3</v>
      </c>
      <c r="D11" t="s">
        <v>546</v>
      </c>
      <c r="F11" s="61">
        <v>9</v>
      </c>
      <c r="G11" s="61">
        <v>9</v>
      </c>
      <c r="H11" s="61">
        <f t="shared" si="0"/>
        <v>45</v>
      </c>
      <c r="I11" s="61" t="s">
        <v>112</v>
      </c>
    </row>
    <row r="12" spans="1:23" x14ac:dyDescent="0.25">
      <c r="A12" t="s">
        <v>515</v>
      </c>
      <c r="B12" t="s">
        <v>41</v>
      </c>
      <c r="C12" t="s">
        <v>3</v>
      </c>
      <c r="D12" t="s">
        <v>554</v>
      </c>
      <c r="F12" s="61">
        <v>10</v>
      </c>
      <c r="G12" s="61">
        <v>10</v>
      </c>
      <c r="H12" s="61">
        <f t="shared" si="0"/>
        <v>55</v>
      </c>
      <c r="I12" s="61" t="s">
        <v>113</v>
      </c>
    </row>
    <row r="13" spans="1:23" x14ac:dyDescent="0.25">
      <c r="A13" t="s">
        <v>534</v>
      </c>
      <c r="B13" t="s">
        <v>535</v>
      </c>
      <c r="C13" t="s">
        <v>3</v>
      </c>
      <c r="D13" t="s">
        <v>547</v>
      </c>
      <c r="F13" s="61">
        <v>11</v>
      </c>
      <c r="G13" s="61">
        <v>11</v>
      </c>
      <c r="H13" s="61">
        <f t="shared" si="0"/>
        <v>66</v>
      </c>
      <c r="I13" s="61" t="s">
        <v>114</v>
      </c>
    </row>
    <row r="14" spans="1:23" x14ac:dyDescent="0.25">
      <c r="A14" t="s">
        <v>501</v>
      </c>
      <c r="B14" t="s">
        <v>39</v>
      </c>
      <c r="C14" t="s">
        <v>5</v>
      </c>
      <c r="D14" t="s">
        <v>600</v>
      </c>
      <c r="F14" s="61">
        <v>12</v>
      </c>
      <c r="G14" s="61">
        <v>12</v>
      </c>
      <c r="H14" s="61">
        <f t="shared" si="0"/>
        <v>78</v>
      </c>
      <c r="I14" s="61" t="s">
        <v>115</v>
      </c>
    </row>
    <row r="15" spans="1:23" x14ac:dyDescent="0.25">
      <c r="A15" t="s">
        <v>522</v>
      </c>
      <c r="B15" t="s">
        <v>41</v>
      </c>
      <c r="C15" t="s">
        <v>3</v>
      </c>
      <c r="D15" t="s">
        <v>555</v>
      </c>
    </row>
    <row r="16" spans="1:23" x14ac:dyDescent="0.25">
      <c r="A16" t="s">
        <v>487</v>
      </c>
      <c r="B16" t="s">
        <v>36</v>
      </c>
      <c r="C16" t="s">
        <v>5</v>
      </c>
      <c r="D16" t="s">
        <v>587</v>
      </c>
      <c r="I16" t="s">
        <v>459</v>
      </c>
      <c r="J16" t="s">
        <v>117</v>
      </c>
    </row>
    <row r="17" spans="1:10" x14ac:dyDescent="0.25">
      <c r="A17" t="s">
        <v>516</v>
      </c>
      <c r="B17" t="s">
        <v>41</v>
      </c>
      <c r="C17" t="s">
        <v>3</v>
      </c>
      <c r="D17" t="s">
        <v>556</v>
      </c>
      <c r="I17" t="s">
        <v>41</v>
      </c>
      <c r="J17" t="s">
        <v>3</v>
      </c>
    </row>
    <row r="18" spans="1:10" x14ac:dyDescent="0.25">
      <c r="A18" t="s">
        <v>477</v>
      </c>
      <c r="B18" t="s">
        <v>35</v>
      </c>
      <c r="C18" t="s">
        <v>5</v>
      </c>
      <c r="D18" t="s">
        <v>579</v>
      </c>
      <c r="I18" t="s">
        <v>38</v>
      </c>
      <c r="J18" t="s">
        <v>5</v>
      </c>
    </row>
    <row r="19" spans="1:10" x14ac:dyDescent="0.25">
      <c r="A19" t="s">
        <v>461</v>
      </c>
      <c r="B19" t="s">
        <v>31</v>
      </c>
      <c r="C19" t="s">
        <v>5</v>
      </c>
      <c r="D19" t="s">
        <v>539</v>
      </c>
      <c r="I19" t="s">
        <v>36</v>
      </c>
      <c r="J19" t="s">
        <v>5</v>
      </c>
    </row>
    <row r="20" spans="1:10" x14ac:dyDescent="0.25">
      <c r="A20" t="s">
        <v>471</v>
      </c>
      <c r="B20" t="s">
        <v>34</v>
      </c>
      <c r="C20" t="s">
        <v>5</v>
      </c>
      <c r="D20" t="s">
        <v>573</v>
      </c>
      <c r="I20" t="s">
        <v>33</v>
      </c>
      <c r="J20" t="s">
        <v>5</v>
      </c>
    </row>
    <row r="21" spans="1:10" x14ac:dyDescent="0.25">
      <c r="A21" t="s">
        <v>497</v>
      </c>
      <c r="B21" t="s">
        <v>38</v>
      </c>
      <c r="C21" t="s">
        <v>5</v>
      </c>
      <c r="D21" t="s">
        <v>597</v>
      </c>
      <c r="I21" t="s">
        <v>32</v>
      </c>
      <c r="J21" t="s">
        <v>5</v>
      </c>
    </row>
    <row r="22" spans="1:10" x14ac:dyDescent="0.25">
      <c r="A22" t="s">
        <v>462</v>
      </c>
      <c r="B22" t="s">
        <v>31</v>
      </c>
      <c r="C22" t="s">
        <v>5</v>
      </c>
      <c r="D22" t="s">
        <v>540</v>
      </c>
      <c r="I22" t="s">
        <v>526</v>
      </c>
      <c r="J22" t="s">
        <v>3</v>
      </c>
    </row>
    <row r="23" spans="1:10" x14ac:dyDescent="0.25">
      <c r="A23" t="s">
        <v>478</v>
      </c>
      <c r="B23" t="s">
        <v>35</v>
      </c>
      <c r="C23" t="s">
        <v>5</v>
      </c>
      <c r="D23" t="s">
        <v>580</v>
      </c>
      <c r="I23" t="s">
        <v>37</v>
      </c>
      <c r="J23" t="s">
        <v>5</v>
      </c>
    </row>
    <row r="24" spans="1:10" x14ac:dyDescent="0.25">
      <c r="A24" t="s">
        <v>463</v>
      </c>
      <c r="B24" t="s">
        <v>31</v>
      </c>
      <c r="C24" t="s">
        <v>5</v>
      </c>
      <c r="D24" t="s">
        <v>541</v>
      </c>
      <c r="I24" t="s">
        <v>535</v>
      </c>
      <c r="J24" t="s">
        <v>3</v>
      </c>
    </row>
    <row r="25" spans="1:10" x14ac:dyDescent="0.25">
      <c r="A25" t="s">
        <v>508</v>
      </c>
      <c r="B25" t="s">
        <v>40</v>
      </c>
      <c r="C25" t="s">
        <v>5</v>
      </c>
      <c r="D25" t="s">
        <v>606</v>
      </c>
      <c r="I25" t="s">
        <v>39</v>
      </c>
      <c r="J25" t="s">
        <v>5</v>
      </c>
    </row>
    <row r="26" spans="1:10" x14ac:dyDescent="0.25">
      <c r="A26" t="s">
        <v>472</v>
      </c>
      <c r="B26" t="s">
        <v>34</v>
      </c>
      <c r="C26" t="s">
        <v>5</v>
      </c>
      <c r="D26" t="s">
        <v>574</v>
      </c>
      <c r="I26" t="s">
        <v>35</v>
      </c>
      <c r="J26" t="s">
        <v>5</v>
      </c>
    </row>
    <row r="27" spans="1:10" x14ac:dyDescent="0.25">
      <c r="A27" t="s">
        <v>531</v>
      </c>
      <c r="B27" t="s">
        <v>530</v>
      </c>
      <c r="C27" t="s">
        <v>3</v>
      </c>
      <c r="D27" t="s">
        <v>550</v>
      </c>
      <c r="I27" t="s">
        <v>31</v>
      </c>
      <c r="J27" t="s">
        <v>5</v>
      </c>
    </row>
    <row r="28" spans="1:10" x14ac:dyDescent="0.25">
      <c r="A28" t="s">
        <v>486</v>
      </c>
      <c r="B28" t="s">
        <v>36</v>
      </c>
      <c r="C28" t="s">
        <v>5</v>
      </c>
      <c r="D28" t="s">
        <v>588</v>
      </c>
      <c r="I28" t="s">
        <v>34</v>
      </c>
      <c r="J28" t="s">
        <v>5</v>
      </c>
    </row>
    <row r="29" spans="1:10" x14ac:dyDescent="0.25">
      <c r="A29" t="s">
        <v>538</v>
      </c>
      <c r="B29" t="s">
        <v>530</v>
      </c>
      <c r="C29" t="s">
        <v>3</v>
      </c>
      <c r="D29" t="s">
        <v>551</v>
      </c>
      <c r="I29" t="s">
        <v>40</v>
      </c>
      <c r="J29" t="s">
        <v>5</v>
      </c>
    </row>
    <row r="30" spans="1:10" x14ac:dyDescent="0.25">
      <c r="A30" t="s">
        <v>523</v>
      </c>
      <c r="B30" t="s">
        <v>42</v>
      </c>
      <c r="C30" t="s">
        <v>3</v>
      </c>
      <c r="D30" t="s">
        <v>561</v>
      </c>
      <c r="I30" t="s">
        <v>530</v>
      </c>
      <c r="J30" t="s">
        <v>3</v>
      </c>
    </row>
    <row r="31" spans="1:10" x14ac:dyDescent="0.25">
      <c r="A31" t="s">
        <v>506</v>
      </c>
      <c r="B31" t="s">
        <v>40</v>
      </c>
      <c r="C31" t="s">
        <v>5</v>
      </c>
      <c r="D31" t="s">
        <v>607</v>
      </c>
      <c r="I31" t="s">
        <v>42</v>
      </c>
      <c r="J31" t="s">
        <v>3</v>
      </c>
    </row>
    <row r="32" spans="1:10" x14ac:dyDescent="0.25">
      <c r="A32" t="s">
        <v>512</v>
      </c>
      <c r="B32" t="s">
        <v>40</v>
      </c>
      <c r="C32" t="s">
        <v>5</v>
      </c>
      <c r="D32" t="s">
        <v>608</v>
      </c>
    </row>
    <row r="33" spans="1:4" x14ac:dyDescent="0.25">
      <c r="A33" t="s">
        <v>536</v>
      </c>
      <c r="B33" t="s">
        <v>535</v>
      </c>
      <c r="C33" t="s">
        <v>3</v>
      </c>
      <c r="D33" t="s">
        <v>548</v>
      </c>
    </row>
    <row r="34" spans="1:4" x14ac:dyDescent="0.25">
      <c r="A34" t="s">
        <v>479</v>
      </c>
      <c r="B34" t="s">
        <v>35</v>
      </c>
      <c r="C34" t="s">
        <v>5</v>
      </c>
      <c r="D34" t="s">
        <v>581</v>
      </c>
    </row>
    <row r="35" spans="1:4" x14ac:dyDescent="0.25">
      <c r="A35" t="s">
        <v>489</v>
      </c>
      <c r="B35" t="s">
        <v>36</v>
      </c>
      <c r="C35" t="s">
        <v>5</v>
      </c>
      <c r="D35" t="s">
        <v>589</v>
      </c>
    </row>
    <row r="36" spans="1:4" x14ac:dyDescent="0.25">
      <c r="A36" t="s">
        <v>569</v>
      </c>
      <c r="B36" t="s">
        <v>33</v>
      </c>
      <c r="C36" t="s">
        <v>5</v>
      </c>
      <c r="D36" t="s">
        <v>570</v>
      </c>
    </row>
    <row r="37" spans="1:4" x14ac:dyDescent="0.25">
      <c r="A37" t="s">
        <v>498</v>
      </c>
      <c r="B37" t="s">
        <v>38</v>
      </c>
      <c r="C37" t="s">
        <v>5</v>
      </c>
      <c r="D37" t="s">
        <v>598</v>
      </c>
    </row>
    <row r="38" spans="1:4" x14ac:dyDescent="0.25">
      <c r="A38" t="s">
        <v>517</v>
      </c>
      <c r="B38" t="s">
        <v>41</v>
      </c>
      <c r="C38" t="s">
        <v>3</v>
      </c>
      <c r="D38" t="s">
        <v>557</v>
      </c>
    </row>
    <row r="39" spans="1:4" x14ac:dyDescent="0.25">
      <c r="A39" t="s">
        <v>509</v>
      </c>
      <c r="B39" t="s">
        <v>40</v>
      </c>
      <c r="C39" t="s">
        <v>5</v>
      </c>
      <c r="D39" t="s">
        <v>609</v>
      </c>
    </row>
    <row r="40" spans="1:4" x14ac:dyDescent="0.25">
      <c r="A40" t="s">
        <v>480</v>
      </c>
      <c r="B40" t="s">
        <v>35</v>
      </c>
      <c r="C40" t="s">
        <v>5</v>
      </c>
      <c r="D40" t="s">
        <v>582</v>
      </c>
    </row>
    <row r="41" spans="1:4" x14ac:dyDescent="0.25">
      <c r="A41" t="s">
        <v>500</v>
      </c>
      <c r="B41" t="s">
        <v>39</v>
      </c>
      <c r="C41" t="s">
        <v>5</v>
      </c>
      <c r="D41" t="s">
        <v>601</v>
      </c>
    </row>
    <row r="42" spans="1:4" x14ac:dyDescent="0.25">
      <c r="A42" t="s">
        <v>537</v>
      </c>
      <c r="B42" t="s">
        <v>535</v>
      </c>
      <c r="C42" t="s">
        <v>3</v>
      </c>
      <c r="D42" t="s">
        <v>549</v>
      </c>
    </row>
    <row r="43" spans="1:4" x14ac:dyDescent="0.25">
      <c r="A43" t="s">
        <v>464</v>
      </c>
      <c r="B43" t="s">
        <v>31</v>
      </c>
      <c r="C43" t="s">
        <v>5</v>
      </c>
      <c r="D43" t="s">
        <v>542</v>
      </c>
    </row>
    <row r="44" spans="1:4" x14ac:dyDescent="0.25">
      <c r="A44" t="s">
        <v>494</v>
      </c>
      <c r="B44" t="s">
        <v>36</v>
      </c>
      <c r="C44" t="s">
        <v>5</v>
      </c>
      <c r="D44" t="s">
        <v>590</v>
      </c>
    </row>
    <row r="45" spans="1:4" x14ac:dyDescent="0.25">
      <c r="A45" t="s">
        <v>473</v>
      </c>
      <c r="B45" t="s">
        <v>34</v>
      </c>
      <c r="C45" t="s">
        <v>5</v>
      </c>
      <c r="D45" t="s">
        <v>575</v>
      </c>
    </row>
    <row r="46" spans="1:4" x14ac:dyDescent="0.25">
      <c r="A46" t="s">
        <v>493</v>
      </c>
      <c r="B46" t="s">
        <v>36</v>
      </c>
      <c r="C46" t="s">
        <v>5</v>
      </c>
      <c r="D46" t="s">
        <v>591</v>
      </c>
    </row>
    <row r="47" spans="1:4" x14ac:dyDescent="0.25">
      <c r="A47" t="s">
        <v>513</v>
      </c>
      <c r="B47" t="s">
        <v>40</v>
      </c>
      <c r="C47" t="s">
        <v>5</v>
      </c>
      <c r="D47" t="s">
        <v>610</v>
      </c>
    </row>
    <row r="48" spans="1:4" x14ac:dyDescent="0.25">
      <c r="A48" t="s">
        <v>503</v>
      </c>
      <c r="B48" t="s">
        <v>39</v>
      </c>
      <c r="C48" t="s">
        <v>5</v>
      </c>
      <c r="D48" t="s">
        <v>602</v>
      </c>
    </row>
    <row r="49" spans="1:4" x14ac:dyDescent="0.25">
      <c r="A49" t="s">
        <v>481</v>
      </c>
      <c r="B49" t="s">
        <v>35</v>
      </c>
      <c r="C49" t="s">
        <v>5</v>
      </c>
      <c r="D49" t="s">
        <v>583</v>
      </c>
    </row>
    <row r="50" spans="1:4" x14ac:dyDescent="0.25">
      <c r="A50" t="s">
        <v>485</v>
      </c>
      <c r="B50" t="s">
        <v>36</v>
      </c>
      <c r="C50" t="s">
        <v>5</v>
      </c>
      <c r="D50" t="s">
        <v>592</v>
      </c>
    </row>
    <row r="51" spans="1:4" x14ac:dyDescent="0.25">
      <c r="A51" t="s">
        <v>524</v>
      </c>
      <c r="B51" t="s">
        <v>42</v>
      </c>
      <c r="C51" t="s">
        <v>3</v>
      </c>
      <c r="D51" t="s">
        <v>562</v>
      </c>
    </row>
    <row r="52" spans="1:4" x14ac:dyDescent="0.25">
      <c r="A52" t="s">
        <v>507</v>
      </c>
      <c r="B52" t="s">
        <v>40</v>
      </c>
      <c r="C52" t="s">
        <v>5</v>
      </c>
      <c r="D52" t="s">
        <v>611</v>
      </c>
    </row>
    <row r="53" spans="1:4" x14ac:dyDescent="0.25">
      <c r="A53" t="s">
        <v>483</v>
      </c>
      <c r="B53" t="s">
        <v>32</v>
      </c>
      <c r="C53" t="s">
        <v>5</v>
      </c>
      <c r="D53" t="s">
        <v>566</v>
      </c>
    </row>
    <row r="54" spans="1:4" x14ac:dyDescent="0.25">
      <c r="A54" t="s">
        <v>492</v>
      </c>
      <c r="B54" t="s">
        <v>36</v>
      </c>
      <c r="C54" t="s">
        <v>5</v>
      </c>
      <c r="D54" t="s">
        <v>593</v>
      </c>
    </row>
    <row r="55" spans="1:4" x14ac:dyDescent="0.25">
      <c r="A55" t="s">
        <v>528</v>
      </c>
      <c r="B55" t="s">
        <v>526</v>
      </c>
      <c r="C55" t="s">
        <v>3</v>
      </c>
      <c r="D55" t="s">
        <v>544</v>
      </c>
    </row>
    <row r="56" spans="1:4" x14ac:dyDescent="0.25">
      <c r="A56" t="s">
        <v>465</v>
      </c>
      <c r="B56" t="s">
        <v>31</v>
      </c>
      <c r="C56" t="s">
        <v>5</v>
      </c>
      <c r="D56" t="s">
        <v>543</v>
      </c>
    </row>
    <row r="57" spans="1:4" x14ac:dyDescent="0.25">
      <c r="A57" t="s">
        <v>470</v>
      </c>
      <c r="B57" t="s">
        <v>33</v>
      </c>
      <c r="C57" t="s">
        <v>5</v>
      </c>
      <c r="D57" t="s">
        <v>572</v>
      </c>
    </row>
    <row r="58" spans="1:4" x14ac:dyDescent="0.25">
      <c r="A58" t="s">
        <v>504</v>
      </c>
      <c r="B58" t="s">
        <v>39</v>
      </c>
      <c r="C58" t="s">
        <v>5</v>
      </c>
      <c r="D58" t="s">
        <v>603</v>
      </c>
    </row>
    <row r="59" spans="1:4" x14ac:dyDescent="0.25">
      <c r="A59" t="s">
        <v>518</v>
      </c>
      <c r="B59" t="s">
        <v>41</v>
      </c>
      <c r="C59" t="s">
        <v>3</v>
      </c>
      <c r="D59" t="s">
        <v>558</v>
      </c>
    </row>
    <row r="60" spans="1:4" x14ac:dyDescent="0.25">
      <c r="A60" t="s">
        <v>505</v>
      </c>
      <c r="B60" t="s">
        <v>39</v>
      </c>
      <c r="C60" t="s">
        <v>5</v>
      </c>
      <c r="D60" t="s">
        <v>604</v>
      </c>
    </row>
    <row r="61" spans="1:4" x14ac:dyDescent="0.25">
      <c r="A61" t="s">
        <v>474</v>
      </c>
      <c r="B61" t="s">
        <v>34</v>
      </c>
      <c r="C61" t="s">
        <v>5</v>
      </c>
      <c r="D61" t="s">
        <v>576</v>
      </c>
    </row>
    <row r="62" spans="1:4" x14ac:dyDescent="0.25">
      <c r="A62" t="s">
        <v>529</v>
      </c>
      <c r="B62" t="s">
        <v>526</v>
      </c>
      <c r="C62" t="s">
        <v>3</v>
      </c>
      <c r="D62" t="s">
        <v>616</v>
      </c>
    </row>
    <row r="63" spans="1:4" x14ac:dyDescent="0.25">
      <c r="A63" t="s">
        <v>525</v>
      </c>
      <c r="B63" t="s">
        <v>42</v>
      </c>
      <c r="C63" t="s">
        <v>3</v>
      </c>
      <c r="D63" t="s">
        <v>563</v>
      </c>
    </row>
    <row r="64" spans="1:4" x14ac:dyDescent="0.25">
      <c r="A64" t="s">
        <v>468</v>
      </c>
      <c r="B64" t="s">
        <v>32</v>
      </c>
      <c r="C64" t="s">
        <v>5</v>
      </c>
      <c r="D64" t="s">
        <v>567</v>
      </c>
    </row>
    <row r="65" spans="1:4" x14ac:dyDescent="0.25">
      <c r="A65" t="s">
        <v>491</v>
      </c>
      <c r="B65" t="s">
        <v>36</v>
      </c>
      <c r="C65" t="s">
        <v>5</v>
      </c>
      <c r="D65" t="s">
        <v>594</v>
      </c>
    </row>
    <row r="66" spans="1:4" x14ac:dyDescent="0.25">
      <c r="A66" t="s">
        <v>484</v>
      </c>
      <c r="B66" t="s">
        <v>35</v>
      </c>
      <c r="C66" t="s">
        <v>5</v>
      </c>
      <c r="D66" t="s">
        <v>584</v>
      </c>
    </row>
    <row r="67" spans="1:4" x14ac:dyDescent="0.25">
      <c r="A67" t="s">
        <v>533</v>
      </c>
      <c r="B67" t="s">
        <v>530</v>
      </c>
      <c r="C67" t="s">
        <v>3</v>
      </c>
      <c r="D67" t="s">
        <v>552</v>
      </c>
    </row>
    <row r="68" spans="1:4" x14ac:dyDescent="0.25">
      <c r="A68" t="s">
        <v>475</v>
      </c>
      <c r="B68" t="s">
        <v>34</v>
      </c>
      <c r="C68" t="s">
        <v>5</v>
      </c>
      <c r="D68" t="s">
        <v>577</v>
      </c>
    </row>
    <row r="69" spans="1:4" x14ac:dyDescent="0.25">
      <c r="A69" t="s">
        <v>519</v>
      </c>
      <c r="B69" t="s">
        <v>41</v>
      </c>
      <c r="C69" t="s">
        <v>3</v>
      </c>
      <c r="D69" t="s">
        <v>559</v>
      </c>
    </row>
    <row r="70" spans="1:4" x14ac:dyDescent="0.25">
      <c r="A70" t="s">
        <v>466</v>
      </c>
      <c r="B70" t="s">
        <v>32</v>
      </c>
      <c r="C70" t="s">
        <v>5</v>
      </c>
      <c r="D70" t="s">
        <v>568</v>
      </c>
    </row>
    <row r="71" spans="1:4" x14ac:dyDescent="0.25">
      <c r="A71" t="s">
        <v>514</v>
      </c>
      <c r="B71" t="s">
        <v>40</v>
      </c>
      <c r="C71" t="s">
        <v>5</v>
      </c>
      <c r="D71" t="s">
        <v>612</v>
      </c>
    </row>
    <row r="72" spans="1:4" x14ac:dyDescent="0.25">
      <c r="A72" t="s">
        <v>520</v>
      </c>
      <c r="B72" t="s">
        <v>41</v>
      </c>
      <c r="C72" t="s">
        <v>3</v>
      </c>
      <c r="D72" t="s">
        <v>560</v>
      </c>
    </row>
    <row r="73" spans="1:4" x14ac:dyDescent="0.25">
      <c r="A73" t="s">
        <v>476</v>
      </c>
      <c r="B73" t="s">
        <v>34</v>
      </c>
      <c r="C73" t="s">
        <v>5</v>
      </c>
      <c r="D73" t="s">
        <v>578</v>
      </c>
    </row>
    <row r="74" spans="1:4" x14ac:dyDescent="0.25">
      <c r="A74" t="s">
        <v>502</v>
      </c>
      <c r="B74" t="s">
        <v>39</v>
      </c>
      <c r="C74" t="s">
        <v>5</v>
      </c>
      <c r="D74" t="s">
        <v>605</v>
      </c>
    </row>
    <row r="75" spans="1:4" x14ac:dyDescent="0.25">
      <c r="A75" t="s">
        <v>511</v>
      </c>
      <c r="B75" t="s">
        <v>40</v>
      </c>
      <c r="C75" t="s">
        <v>5</v>
      </c>
      <c r="D75" t="s">
        <v>613</v>
      </c>
    </row>
    <row r="76" spans="1:4" x14ac:dyDescent="0.25">
      <c r="A76" t="s">
        <v>499</v>
      </c>
      <c r="B76" t="s">
        <v>38</v>
      </c>
      <c r="C76" t="s">
        <v>5</v>
      </c>
      <c r="D76" t="s">
        <v>599</v>
      </c>
    </row>
    <row r="77" spans="1:4" x14ac:dyDescent="0.25">
      <c r="A77" t="s">
        <v>510</v>
      </c>
      <c r="B77" t="s">
        <v>40</v>
      </c>
      <c r="C77" t="s">
        <v>5</v>
      </c>
      <c r="D77" t="s">
        <v>614</v>
      </c>
    </row>
  </sheetData>
  <dataConsolidate function="countNums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DDF-05F6-401A-BFE5-6FDE47C933E2}">
  <dimension ref="A1:C72"/>
  <sheetViews>
    <sheetView workbookViewId="0">
      <selection sqref="A1:A1048576"/>
    </sheetView>
  </sheetViews>
  <sheetFormatPr defaultRowHeight="15" x14ac:dyDescent="0.25"/>
  <cols>
    <col min="1" max="1" width="14.125" bestFit="1" customWidth="1"/>
    <col min="2" max="2" width="10.25" bestFit="1" customWidth="1"/>
    <col min="3" max="3" width="136.875" bestFit="1" customWidth="1"/>
  </cols>
  <sheetData>
    <row r="1" spans="1:3" x14ac:dyDescent="0.25">
      <c r="A1" t="s">
        <v>280</v>
      </c>
      <c r="B1" t="s">
        <v>279</v>
      </c>
      <c r="C1" t="s">
        <v>278</v>
      </c>
    </row>
    <row r="2" spans="1:3" x14ac:dyDescent="0.25">
      <c r="A2" t="s">
        <v>277</v>
      </c>
      <c r="B2" t="s">
        <v>178</v>
      </c>
      <c r="C2" t="s">
        <v>276</v>
      </c>
    </row>
    <row r="3" spans="1:3" x14ac:dyDescent="0.25">
      <c r="A3" t="s">
        <v>275</v>
      </c>
      <c r="B3" t="s">
        <v>178</v>
      </c>
      <c r="C3" t="s">
        <v>274</v>
      </c>
    </row>
    <row r="4" spans="1:3" x14ac:dyDescent="0.25">
      <c r="A4" t="s">
        <v>273</v>
      </c>
      <c r="B4" t="s">
        <v>178</v>
      </c>
      <c r="C4" t="s">
        <v>272</v>
      </c>
    </row>
    <row r="5" spans="1:3" x14ac:dyDescent="0.25">
      <c r="A5" t="s">
        <v>271</v>
      </c>
      <c r="B5" t="s">
        <v>169</v>
      </c>
      <c r="C5" t="s">
        <v>270</v>
      </c>
    </row>
    <row r="6" spans="1:3" x14ac:dyDescent="0.25">
      <c r="A6" t="s">
        <v>269</v>
      </c>
      <c r="B6" t="s">
        <v>178</v>
      </c>
      <c r="C6" t="s">
        <v>268</v>
      </c>
    </row>
    <row r="7" spans="1:3" x14ac:dyDescent="0.25">
      <c r="A7" t="s">
        <v>3</v>
      </c>
      <c r="B7" t="s">
        <v>117</v>
      </c>
      <c r="C7" t="s">
        <v>267</v>
      </c>
    </row>
    <row r="8" spans="1:3" x14ac:dyDescent="0.25">
      <c r="A8" t="s">
        <v>140</v>
      </c>
      <c r="B8" t="s">
        <v>169</v>
      </c>
      <c r="C8" t="s">
        <v>266</v>
      </c>
    </row>
    <row r="9" spans="1:3" x14ac:dyDescent="0.25">
      <c r="A9" t="s">
        <v>265</v>
      </c>
      <c r="B9" t="s">
        <v>169</v>
      </c>
      <c r="C9" t="s">
        <v>264</v>
      </c>
    </row>
    <row r="10" spans="1:3" x14ac:dyDescent="0.25">
      <c r="A10" t="s">
        <v>139</v>
      </c>
      <c r="B10" t="s">
        <v>169</v>
      </c>
      <c r="C10" t="s">
        <v>263</v>
      </c>
    </row>
    <row r="11" spans="1:3" x14ac:dyDescent="0.25">
      <c r="A11" t="s">
        <v>262</v>
      </c>
      <c r="B11" t="s">
        <v>18</v>
      </c>
      <c r="C11" t="s">
        <v>261</v>
      </c>
    </row>
    <row r="12" spans="1:3" x14ac:dyDescent="0.25">
      <c r="A12" t="s">
        <v>260</v>
      </c>
      <c r="B12" t="s">
        <v>259</v>
      </c>
      <c r="C12" t="s">
        <v>258</v>
      </c>
    </row>
    <row r="13" spans="1:3" x14ac:dyDescent="0.25">
      <c r="A13" t="s">
        <v>257</v>
      </c>
      <c r="B13" t="s">
        <v>175</v>
      </c>
      <c r="C13" t="s">
        <v>256</v>
      </c>
    </row>
    <row r="14" spans="1:3" x14ac:dyDescent="0.25">
      <c r="A14" t="s">
        <v>255</v>
      </c>
      <c r="B14" t="s">
        <v>161</v>
      </c>
      <c r="C14" t="s">
        <v>254</v>
      </c>
    </row>
    <row r="15" spans="1:3" x14ac:dyDescent="0.25">
      <c r="A15" t="s">
        <v>169</v>
      </c>
      <c r="B15" t="s">
        <v>161</v>
      </c>
      <c r="C15" t="s">
        <v>253</v>
      </c>
    </row>
    <row r="16" spans="1:3" x14ac:dyDescent="0.25">
      <c r="A16" t="s">
        <v>252</v>
      </c>
      <c r="B16" t="s">
        <v>169</v>
      </c>
      <c r="C16" t="s">
        <v>251</v>
      </c>
    </row>
    <row r="17" spans="1:3" x14ac:dyDescent="0.25">
      <c r="A17" t="s">
        <v>250</v>
      </c>
      <c r="B17" t="s">
        <v>169</v>
      </c>
      <c r="C17" t="s">
        <v>249</v>
      </c>
    </row>
    <row r="18" spans="1:3" x14ac:dyDescent="0.25">
      <c r="A18" t="s">
        <v>248</v>
      </c>
      <c r="B18" t="s">
        <v>178</v>
      </c>
      <c r="C18" t="s">
        <v>247</v>
      </c>
    </row>
    <row r="19" spans="1:3" x14ac:dyDescent="0.25">
      <c r="A19" t="s">
        <v>246</v>
      </c>
      <c r="B19" t="s">
        <v>169</v>
      </c>
      <c r="C19" t="s">
        <v>245</v>
      </c>
    </row>
    <row r="20" spans="1:3" x14ac:dyDescent="0.25">
      <c r="A20" t="s">
        <v>244</v>
      </c>
      <c r="B20" t="s">
        <v>178</v>
      </c>
      <c r="C20" t="s">
        <v>243</v>
      </c>
    </row>
    <row r="21" spans="1:3" x14ac:dyDescent="0.25">
      <c r="A21" t="s">
        <v>43</v>
      </c>
      <c r="B21" t="s">
        <v>157</v>
      </c>
      <c r="C21" t="s">
        <v>242</v>
      </c>
    </row>
    <row r="22" spans="1:3" x14ac:dyDescent="0.25">
      <c r="A22" t="s">
        <v>241</v>
      </c>
      <c r="B22" t="s">
        <v>169</v>
      </c>
      <c r="C22" t="s">
        <v>240</v>
      </c>
    </row>
    <row r="23" spans="1:3" x14ac:dyDescent="0.25">
      <c r="A23" t="s">
        <v>178</v>
      </c>
      <c r="B23" t="s">
        <v>169</v>
      </c>
      <c r="C23" t="s">
        <v>239</v>
      </c>
    </row>
    <row r="24" spans="1:3" x14ac:dyDescent="0.25">
      <c r="A24" t="s">
        <v>238</v>
      </c>
      <c r="B24" t="s">
        <v>169</v>
      </c>
      <c r="C24" t="s">
        <v>237</v>
      </c>
    </row>
    <row r="25" spans="1:3" x14ac:dyDescent="0.25">
      <c r="A25" t="s">
        <v>236</v>
      </c>
      <c r="B25" t="s">
        <v>178</v>
      </c>
      <c r="C25" t="s">
        <v>235</v>
      </c>
    </row>
    <row r="26" spans="1:3" x14ac:dyDescent="0.25">
      <c r="A26" t="s">
        <v>234</v>
      </c>
      <c r="B26" t="s">
        <v>206</v>
      </c>
      <c r="C26" t="s">
        <v>233</v>
      </c>
    </row>
    <row r="27" spans="1:3" x14ac:dyDescent="0.25">
      <c r="A27" t="s">
        <v>6</v>
      </c>
      <c r="B27" t="s">
        <v>157</v>
      </c>
      <c r="C27" t="s">
        <v>232</v>
      </c>
    </row>
    <row r="28" spans="1:3" x14ac:dyDescent="0.25">
      <c r="A28" t="s">
        <v>141</v>
      </c>
      <c r="B28" t="s">
        <v>169</v>
      </c>
      <c r="C28" t="s">
        <v>184</v>
      </c>
    </row>
    <row r="29" spans="1:3" x14ac:dyDescent="0.25">
      <c r="A29" t="s">
        <v>157</v>
      </c>
      <c r="B29" t="s">
        <v>157</v>
      </c>
      <c r="C29" t="s">
        <v>231</v>
      </c>
    </row>
    <row r="30" spans="1:3" x14ac:dyDescent="0.25">
      <c r="A30" t="s">
        <v>230</v>
      </c>
      <c r="B30" t="s">
        <v>178</v>
      </c>
      <c r="C30" t="s">
        <v>229</v>
      </c>
    </row>
    <row r="31" spans="1:3" x14ac:dyDescent="0.25">
      <c r="A31" t="s">
        <v>100</v>
      </c>
      <c r="B31" t="s">
        <v>169</v>
      </c>
      <c r="C31" t="s">
        <v>228</v>
      </c>
    </row>
    <row r="32" spans="1:3" x14ac:dyDescent="0.25">
      <c r="A32" t="s">
        <v>227</v>
      </c>
      <c r="B32" t="s">
        <v>157</v>
      </c>
      <c r="C32" t="s">
        <v>226</v>
      </c>
    </row>
    <row r="33" spans="1:3" x14ac:dyDescent="0.25">
      <c r="A33" t="s">
        <v>225</v>
      </c>
      <c r="B33" t="s">
        <v>178</v>
      </c>
      <c r="C33" t="s">
        <v>224</v>
      </c>
    </row>
    <row r="34" spans="1:3" x14ac:dyDescent="0.25">
      <c r="A34" t="s">
        <v>223</v>
      </c>
      <c r="B34" t="s">
        <v>200</v>
      </c>
      <c r="C34" t="s">
        <v>222</v>
      </c>
    </row>
    <row r="35" spans="1:3" x14ac:dyDescent="0.25">
      <c r="A35" t="s">
        <v>221</v>
      </c>
      <c r="B35" t="s">
        <v>206</v>
      </c>
      <c r="C35" t="s">
        <v>220</v>
      </c>
    </row>
    <row r="36" spans="1:3" x14ac:dyDescent="0.25">
      <c r="A36" t="s">
        <v>219</v>
      </c>
      <c r="B36" t="s">
        <v>200</v>
      </c>
      <c r="C36" t="s">
        <v>218</v>
      </c>
    </row>
    <row r="37" spans="1:3" x14ac:dyDescent="0.25">
      <c r="A37" t="s">
        <v>217</v>
      </c>
      <c r="B37" t="s">
        <v>161</v>
      </c>
      <c r="C37" t="s">
        <v>216</v>
      </c>
    </row>
    <row r="38" spans="1:3" x14ac:dyDescent="0.25">
      <c r="A38" t="s">
        <v>215</v>
      </c>
      <c r="B38" t="s">
        <v>169</v>
      </c>
      <c r="C38" t="s">
        <v>168</v>
      </c>
    </row>
    <row r="39" spans="1:3" x14ac:dyDescent="0.25">
      <c r="A39" t="s">
        <v>213</v>
      </c>
      <c r="B39" t="s">
        <v>161</v>
      </c>
      <c r="C39" t="s">
        <v>212</v>
      </c>
    </row>
    <row r="40" spans="1:3" x14ac:dyDescent="0.25">
      <c r="A40" t="s">
        <v>361</v>
      </c>
      <c r="B40" t="s">
        <v>169</v>
      </c>
      <c r="C40" t="s">
        <v>214</v>
      </c>
    </row>
    <row r="41" spans="1:3" x14ac:dyDescent="0.25">
      <c r="A41" t="s">
        <v>211</v>
      </c>
      <c r="B41" t="s">
        <v>178</v>
      </c>
      <c r="C41" t="s">
        <v>210</v>
      </c>
    </row>
    <row r="42" spans="1:3" x14ac:dyDescent="0.25">
      <c r="A42" t="s">
        <v>209</v>
      </c>
      <c r="B42" t="s">
        <v>169</v>
      </c>
      <c r="C42" t="s">
        <v>208</v>
      </c>
    </row>
    <row r="43" spans="1:3" x14ac:dyDescent="0.25">
      <c r="A43" t="s">
        <v>5</v>
      </c>
      <c r="B43" t="s">
        <v>117</v>
      </c>
      <c r="C43" t="s">
        <v>207</v>
      </c>
    </row>
    <row r="44" spans="1:3" x14ac:dyDescent="0.25">
      <c r="A44" t="s">
        <v>22</v>
      </c>
      <c r="B44" t="s">
        <v>206</v>
      </c>
      <c r="C44" t="s">
        <v>205</v>
      </c>
    </row>
    <row r="45" spans="1:3" x14ac:dyDescent="0.25">
      <c r="A45" t="s">
        <v>204</v>
      </c>
      <c r="B45" t="s">
        <v>169</v>
      </c>
      <c r="C45" t="s">
        <v>203</v>
      </c>
    </row>
    <row r="46" spans="1:3" x14ac:dyDescent="0.25">
      <c r="A46" t="s">
        <v>202</v>
      </c>
      <c r="B46" t="s">
        <v>178</v>
      </c>
      <c r="C46" t="s">
        <v>201</v>
      </c>
    </row>
    <row r="47" spans="1:3" x14ac:dyDescent="0.25">
      <c r="A47" t="s">
        <v>200</v>
      </c>
      <c r="B47" t="s">
        <v>161</v>
      </c>
      <c r="C47" t="s">
        <v>199</v>
      </c>
    </row>
    <row r="48" spans="1:3" x14ac:dyDescent="0.25">
      <c r="A48" t="s">
        <v>54</v>
      </c>
      <c r="B48" t="s">
        <v>18</v>
      </c>
      <c r="C48" t="s">
        <v>198</v>
      </c>
    </row>
    <row r="49" spans="1:3" x14ac:dyDescent="0.25">
      <c r="A49" t="s">
        <v>8</v>
      </c>
      <c r="B49" t="s">
        <v>157</v>
      </c>
      <c r="C49" t="s">
        <v>197</v>
      </c>
    </row>
    <row r="50" spans="1:3" x14ac:dyDescent="0.25">
      <c r="A50" t="s">
        <v>14</v>
      </c>
      <c r="B50" t="s">
        <v>157</v>
      </c>
      <c r="C50" t="s">
        <v>196</v>
      </c>
    </row>
    <row r="51" spans="1:3" x14ac:dyDescent="0.25">
      <c r="A51" t="s">
        <v>195</v>
      </c>
      <c r="B51" t="s">
        <v>178</v>
      </c>
      <c r="C51" t="s">
        <v>194</v>
      </c>
    </row>
    <row r="52" spans="1:3" x14ac:dyDescent="0.25">
      <c r="A52" t="s">
        <v>18</v>
      </c>
      <c r="B52" t="s">
        <v>175</v>
      </c>
      <c r="C52" t="s">
        <v>193</v>
      </c>
    </row>
    <row r="53" spans="1:3" x14ac:dyDescent="0.25">
      <c r="A53" t="s">
        <v>192</v>
      </c>
      <c r="B53" t="s">
        <v>169</v>
      </c>
      <c r="C53" t="s">
        <v>191</v>
      </c>
    </row>
    <row r="54" spans="1:3" x14ac:dyDescent="0.25">
      <c r="A54" t="s">
        <v>190</v>
      </c>
      <c r="B54" t="s">
        <v>18</v>
      </c>
      <c r="C54" t="s">
        <v>189</v>
      </c>
    </row>
    <row r="55" spans="1:3" x14ac:dyDescent="0.25">
      <c r="A55" t="s">
        <v>188</v>
      </c>
      <c r="B55" t="s">
        <v>18</v>
      </c>
      <c r="C55" t="s">
        <v>187</v>
      </c>
    </row>
    <row r="56" spans="1:3" x14ac:dyDescent="0.25">
      <c r="A56" t="s">
        <v>45</v>
      </c>
      <c r="B56" t="s">
        <v>43</v>
      </c>
      <c r="C56" t="s">
        <v>186</v>
      </c>
    </row>
    <row r="57" spans="1:3" x14ac:dyDescent="0.25">
      <c r="A57" t="s">
        <v>185</v>
      </c>
      <c r="B57" t="s">
        <v>169</v>
      </c>
      <c r="C57" t="s">
        <v>184</v>
      </c>
    </row>
    <row r="58" spans="1:3" x14ac:dyDescent="0.25">
      <c r="A58" t="s">
        <v>16</v>
      </c>
      <c r="B58" t="s">
        <v>18</v>
      </c>
      <c r="C58" t="s">
        <v>183</v>
      </c>
    </row>
    <row r="59" spans="1:3" x14ac:dyDescent="0.25">
      <c r="A59" t="s">
        <v>10</v>
      </c>
      <c r="B59" t="s">
        <v>157</v>
      </c>
      <c r="C59" t="s">
        <v>182</v>
      </c>
    </row>
    <row r="60" spans="1:3" x14ac:dyDescent="0.25">
      <c r="A60" t="s">
        <v>181</v>
      </c>
      <c r="B60" t="s">
        <v>169</v>
      </c>
      <c r="C60" t="s">
        <v>180</v>
      </c>
    </row>
    <row r="61" spans="1:3" x14ac:dyDescent="0.25">
      <c r="A61" t="s">
        <v>179</v>
      </c>
      <c r="B61" t="s">
        <v>178</v>
      </c>
      <c r="C61" t="s">
        <v>177</v>
      </c>
    </row>
    <row r="62" spans="1:3" x14ac:dyDescent="0.25">
      <c r="A62" t="s">
        <v>176</v>
      </c>
      <c r="B62" t="s">
        <v>175</v>
      </c>
      <c r="C62" t="s">
        <v>174</v>
      </c>
    </row>
    <row r="63" spans="1:3" x14ac:dyDescent="0.25">
      <c r="A63" t="s">
        <v>7</v>
      </c>
      <c r="B63" t="s">
        <v>157</v>
      </c>
      <c r="C63" t="s">
        <v>173</v>
      </c>
    </row>
    <row r="64" spans="1:3" x14ac:dyDescent="0.25">
      <c r="A64" t="s">
        <v>55</v>
      </c>
      <c r="B64" t="s">
        <v>18</v>
      </c>
      <c r="C64" t="s">
        <v>172</v>
      </c>
    </row>
    <row r="65" spans="1:3" x14ac:dyDescent="0.25">
      <c r="A65" t="s">
        <v>15</v>
      </c>
      <c r="B65" t="s">
        <v>169</v>
      </c>
      <c r="C65" t="s">
        <v>171</v>
      </c>
    </row>
    <row r="66" spans="1:3" x14ac:dyDescent="0.25">
      <c r="A66" t="s">
        <v>17</v>
      </c>
      <c r="B66" t="s">
        <v>18</v>
      </c>
      <c r="C66" t="s">
        <v>170</v>
      </c>
    </row>
    <row r="67" spans="1:3" x14ac:dyDescent="0.25">
      <c r="A67" t="s">
        <v>167</v>
      </c>
      <c r="B67" t="s">
        <v>161</v>
      </c>
      <c r="C67" t="s">
        <v>166</v>
      </c>
    </row>
    <row r="68" spans="1:3" x14ac:dyDescent="0.25">
      <c r="A68" t="s">
        <v>165</v>
      </c>
      <c r="B68" t="s">
        <v>161</v>
      </c>
      <c r="C68" t="s">
        <v>164</v>
      </c>
    </row>
    <row r="69" spans="1:3" x14ac:dyDescent="0.25">
      <c r="A69" t="s">
        <v>13</v>
      </c>
      <c r="B69" t="s">
        <v>157</v>
      </c>
      <c r="C69" t="s">
        <v>163</v>
      </c>
    </row>
    <row r="70" spans="1:3" x14ac:dyDescent="0.25">
      <c r="A70" t="s">
        <v>162</v>
      </c>
      <c r="B70" t="s">
        <v>161</v>
      </c>
      <c r="C70" t="s">
        <v>160</v>
      </c>
    </row>
    <row r="71" spans="1:3" x14ac:dyDescent="0.25">
      <c r="A71" t="s">
        <v>46</v>
      </c>
      <c r="B71" t="s">
        <v>43</v>
      </c>
      <c r="C71" t="s">
        <v>159</v>
      </c>
    </row>
    <row r="72" spans="1:3" x14ac:dyDescent="0.25">
      <c r="A72" t="s">
        <v>158</v>
      </c>
      <c r="B72" t="s">
        <v>157</v>
      </c>
      <c r="C72" t="s">
        <v>156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592EB-EE1A-476F-A7A3-4B88E8624F2D}">
  <sheetPr codeName="Sheet4"/>
  <dimension ref="A2:Q46"/>
  <sheetViews>
    <sheetView workbookViewId="0">
      <selection activeCell="A34" sqref="A34"/>
    </sheetView>
  </sheetViews>
  <sheetFormatPr defaultRowHeight="15" x14ac:dyDescent="0.25"/>
  <cols>
    <col min="1" max="1" width="6.375" bestFit="1" customWidth="1"/>
    <col min="2" max="5" width="8.75" bestFit="1" customWidth="1"/>
    <col min="6" max="6" width="7.5" bestFit="1" customWidth="1"/>
    <col min="7" max="17" width="8.75" bestFit="1" customWidth="1"/>
  </cols>
  <sheetData>
    <row r="2" spans="1:13" x14ac:dyDescent="0.25">
      <c r="A2" t="s">
        <v>100</v>
      </c>
      <c r="B2" t="s">
        <v>97</v>
      </c>
      <c r="C2" t="s">
        <v>95</v>
      </c>
      <c r="D2" t="s">
        <v>96</v>
      </c>
      <c r="E2" t="s">
        <v>94</v>
      </c>
      <c r="F2" t="s">
        <v>93</v>
      </c>
      <c r="G2" t="s">
        <v>92</v>
      </c>
      <c r="H2" t="s">
        <v>91</v>
      </c>
      <c r="I2" t="s">
        <v>90</v>
      </c>
      <c r="J2" s="7" t="s">
        <v>88</v>
      </c>
      <c r="K2" s="7" t="s">
        <v>89</v>
      </c>
      <c r="L2" t="s">
        <v>98</v>
      </c>
      <c r="M2" t="s">
        <v>99</v>
      </c>
    </row>
    <row r="3" spans="1:13" x14ac:dyDescent="0.25">
      <c r="A3">
        <v>1</v>
      </c>
      <c r="B3">
        <v>0</v>
      </c>
    </row>
    <row r="4" spans="1:13" x14ac:dyDescent="0.25">
      <c r="A4">
        <v>2</v>
      </c>
      <c r="B4">
        <v>0</v>
      </c>
      <c r="C4">
        <v>1</v>
      </c>
    </row>
    <row r="5" spans="1:13" x14ac:dyDescent="0.25">
      <c r="A5">
        <v>3</v>
      </c>
      <c r="B5">
        <v>0</v>
      </c>
      <c r="C5">
        <v>1</v>
      </c>
      <c r="D5">
        <v>1</v>
      </c>
    </row>
    <row r="6" spans="1:13" x14ac:dyDescent="0.25">
      <c r="A6">
        <v>4</v>
      </c>
      <c r="B6">
        <v>0</v>
      </c>
      <c r="C6">
        <v>1</v>
      </c>
      <c r="D6">
        <v>1</v>
      </c>
      <c r="E6">
        <v>1</v>
      </c>
    </row>
    <row r="7" spans="1:13" x14ac:dyDescent="0.25">
      <c r="A7">
        <v>5</v>
      </c>
      <c r="B7">
        <v>0</v>
      </c>
      <c r="C7">
        <v>1</v>
      </c>
      <c r="D7">
        <v>1</v>
      </c>
      <c r="E7">
        <v>1</v>
      </c>
      <c r="F7">
        <v>1</v>
      </c>
    </row>
    <row r="8" spans="1:13" x14ac:dyDescent="0.25">
      <c r="A8">
        <v>6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</row>
    <row r="9" spans="1:13" x14ac:dyDescent="0.25">
      <c r="A9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13" x14ac:dyDescent="0.25">
      <c r="A10">
        <v>8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13" x14ac:dyDescent="0.25">
      <c r="A11">
        <v>9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</row>
    <row r="12" spans="1:13" x14ac:dyDescent="0.25">
      <c r="A12">
        <v>10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3" x14ac:dyDescent="0.25">
      <c r="A13">
        <v>11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</row>
    <row r="14" spans="1:13" x14ac:dyDescent="0.25">
      <c r="A14">
        <v>12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</row>
    <row r="15" spans="1:13" x14ac:dyDescent="0.25">
      <c r="B15" s="8">
        <f t="shared" ref="B15:I15" si="0">(SUM(B3:B14)/12)</f>
        <v>0</v>
      </c>
      <c r="C15" s="8">
        <f t="shared" si="0"/>
        <v>0.91666666666666663</v>
      </c>
      <c r="D15" s="8">
        <f t="shared" si="0"/>
        <v>0.83333333333333337</v>
      </c>
      <c r="E15" s="8">
        <f t="shared" si="0"/>
        <v>0.75</v>
      </c>
      <c r="F15" s="8">
        <f t="shared" si="0"/>
        <v>0.66666666666666663</v>
      </c>
      <c r="G15" s="8">
        <f t="shared" si="0"/>
        <v>0.58333333333333337</v>
      </c>
      <c r="H15" s="8">
        <f t="shared" si="0"/>
        <v>0.5</v>
      </c>
      <c r="I15" s="8">
        <f t="shared" si="0"/>
        <v>0.41666666666666669</v>
      </c>
      <c r="J15" s="8">
        <f>(SUM(J3:J14)/12)</f>
        <v>0.33333333333333331</v>
      </c>
      <c r="K15" s="8">
        <f>(SUM(K3:K14)/12)</f>
        <v>0.25</v>
      </c>
      <c r="L15" s="8">
        <f t="shared" ref="L15:M15" si="1">(SUM(L3:L14)/12)</f>
        <v>0.16666666666666666</v>
      </c>
      <c r="M15" s="8">
        <f t="shared" si="1"/>
        <v>8.3333333333333329E-2</v>
      </c>
    </row>
    <row r="17" spans="1:17" x14ac:dyDescent="0.25">
      <c r="B17" s="254" t="s">
        <v>101</v>
      </c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</row>
    <row r="18" spans="1:17" x14ac:dyDescent="0.25">
      <c r="A18" t="s">
        <v>15</v>
      </c>
      <c r="B18">
        <v>1</v>
      </c>
      <c r="C18">
        <v>2</v>
      </c>
      <c r="D18">
        <v>3</v>
      </c>
      <c r="E18">
        <v>4</v>
      </c>
      <c r="F18">
        <v>5</v>
      </c>
      <c r="G18">
        <v>6</v>
      </c>
      <c r="H18">
        <v>7</v>
      </c>
      <c r="I18">
        <v>8</v>
      </c>
      <c r="J18">
        <v>9</v>
      </c>
      <c r="K18">
        <v>10</v>
      </c>
      <c r="L18">
        <v>11</v>
      </c>
      <c r="M18">
        <v>12</v>
      </c>
    </row>
    <row r="19" spans="1:17" x14ac:dyDescent="0.25">
      <c r="A19">
        <v>1</v>
      </c>
      <c r="B19" s="9">
        <f>$B$15*B$18</f>
        <v>0</v>
      </c>
      <c r="C19" s="9">
        <f t="shared" ref="C19:M19" si="2">$B$15*C$18</f>
        <v>0</v>
      </c>
      <c r="D19" s="9">
        <f t="shared" si="2"/>
        <v>0</v>
      </c>
      <c r="E19" s="9">
        <f t="shared" si="2"/>
        <v>0</v>
      </c>
      <c r="F19" s="9">
        <f t="shared" si="2"/>
        <v>0</v>
      </c>
      <c r="G19" s="9">
        <f t="shared" si="2"/>
        <v>0</v>
      </c>
      <c r="H19" s="9">
        <f t="shared" si="2"/>
        <v>0</v>
      </c>
      <c r="I19" s="9">
        <f t="shared" si="2"/>
        <v>0</v>
      </c>
      <c r="J19" s="9">
        <f t="shared" si="2"/>
        <v>0</v>
      </c>
      <c r="K19" s="9">
        <f t="shared" si="2"/>
        <v>0</v>
      </c>
      <c r="L19" s="9">
        <f t="shared" si="2"/>
        <v>0</v>
      </c>
      <c r="M19" s="9">
        <f t="shared" si="2"/>
        <v>0</v>
      </c>
      <c r="N19" s="9"/>
      <c r="O19" s="9"/>
      <c r="P19" s="9"/>
      <c r="Q19" s="9"/>
    </row>
    <row r="20" spans="1:17" x14ac:dyDescent="0.25">
      <c r="A20">
        <v>2</v>
      </c>
      <c r="B20" s="9">
        <f>$C$15*B$18</f>
        <v>0.91666666666666663</v>
      </c>
      <c r="C20" s="10">
        <f t="shared" ref="C20:M20" si="3">$C$15*C$18</f>
        <v>1.8333333333333333</v>
      </c>
      <c r="D20" s="11">
        <f t="shared" si="3"/>
        <v>2.75</v>
      </c>
      <c r="E20" s="12">
        <f t="shared" si="3"/>
        <v>3.6666666666666665</v>
      </c>
      <c r="F20" s="13">
        <f t="shared" si="3"/>
        <v>4.583333333333333</v>
      </c>
      <c r="G20" s="14">
        <f t="shared" si="3"/>
        <v>5.5</v>
      </c>
      <c r="H20" s="10">
        <f t="shared" si="3"/>
        <v>6.4166666666666661</v>
      </c>
      <c r="I20" s="11">
        <f t="shared" si="3"/>
        <v>7.333333333333333</v>
      </c>
      <c r="J20" s="12">
        <f t="shared" si="3"/>
        <v>8.25</v>
      </c>
      <c r="K20" s="13">
        <f t="shared" si="3"/>
        <v>9.1666666666666661</v>
      </c>
      <c r="L20" s="15">
        <f t="shared" si="3"/>
        <v>10.083333333333332</v>
      </c>
      <c r="M20" s="10">
        <f t="shared" si="3"/>
        <v>11</v>
      </c>
      <c r="N20" s="10"/>
      <c r="O20" s="11"/>
      <c r="P20" s="12"/>
      <c r="Q20" s="13"/>
    </row>
    <row r="21" spans="1:17" x14ac:dyDescent="0.25">
      <c r="A21" s="26">
        <v>3</v>
      </c>
      <c r="B21" s="27">
        <f>$D$15*B$18</f>
        <v>0.83333333333333337</v>
      </c>
      <c r="C21" s="28">
        <f t="shared" ref="C21:M21" si="4">$D$15*C$18</f>
        <v>1.6666666666666667</v>
      </c>
      <c r="D21" s="29">
        <f t="shared" si="4"/>
        <v>2.5</v>
      </c>
      <c r="E21" s="30">
        <f t="shared" si="4"/>
        <v>3.3333333333333335</v>
      </c>
      <c r="F21" s="31">
        <f t="shared" si="4"/>
        <v>4.166666666666667</v>
      </c>
      <c r="G21" s="32">
        <f t="shared" si="4"/>
        <v>5</v>
      </c>
      <c r="H21" s="32">
        <f t="shared" si="4"/>
        <v>5.8333333333333339</v>
      </c>
      <c r="I21" s="28">
        <f t="shared" si="4"/>
        <v>6.666666666666667</v>
      </c>
      <c r="J21" s="29">
        <f t="shared" si="4"/>
        <v>7.5</v>
      </c>
      <c r="K21" s="30">
        <f t="shared" si="4"/>
        <v>8.3333333333333339</v>
      </c>
      <c r="L21" s="31">
        <f t="shared" si="4"/>
        <v>9.1666666666666679</v>
      </c>
      <c r="M21" s="33">
        <f t="shared" si="4"/>
        <v>10</v>
      </c>
      <c r="N21" s="15"/>
      <c r="O21" s="10"/>
      <c r="P21" s="11"/>
      <c r="Q21" s="12"/>
    </row>
    <row r="22" spans="1:17" x14ac:dyDescent="0.25">
      <c r="A22">
        <v>4</v>
      </c>
      <c r="B22" s="9">
        <f>$E$15*B$18</f>
        <v>0.75</v>
      </c>
      <c r="C22" s="10">
        <f t="shared" ref="C22:M22" si="5">$E$15*C$18</f>
        <v>1.5</v>
      </c>
      <c r="D22" s="11">
        <f t="shared" si="5"/>
        <v>2.25</v>
      </c>
      <c r="E22" s="12">
        <f t="shared" si="5"/>
        <v>3</v>
      </c>
      <c r="F22" s="12">
        <f t="shared" si="5"/>
        <v>3.75</v>
      </c>
      <c r="G22" s="13">
        <f t="shared" si="5"/>
        <v>4.5</v>
      </c>
      <c r="H22" s="14">
        <f t="shared" si="5"/>
        <v>5.25</v>
      </c>
      <c r="I22" s="10">
        <f t="shared" si="5"/>
        <v>6</v>
      </c>
      <c r="J22" s="10">
        <f t="shared" si="5"/>
        <v>6.75</v>
      </c>
      <c r="K22" s="11">
        <f t="shared" si="5"/>
        <v>7.5</v>
      </c>
      <c r="L22" s="12">
        <f t="shared" si="5"/>
        <v>8.25</v>
      </c>
      <c r="M22" s="13">
        <f t="shared" si="5"/>
        <v>9</v>
      </c>
      <c r="N22" s="13"/>
      <c r="O22" s="15"/>
      <c r="P22" s="10"/>
      <c r="Q22" s="11"/>
    </row>
    <row r="23" spans="1:17" x14ac:dyDescent="0.25">
      <c r="A23" s="26">
        <v>5</v>
      </c>
      <c r="B23" s="27">
        <f>$F$15*B$18</f>
        <v>0.66666666666666663</v>
      </c>
      <c r="C23" s="28">
        <f t="shared" ref="C23:M23" si="6">$F$15*C$18</f>
        <v>1.3333333333333333</v>
      </c>
      <c r="D23" s="29">
        <f t="shared" si="6"/>
        <v>2</v>
      </c>
      <c r="E23" s="29">
        <f t="shared" si="6"/>
        <v>2.6666666666666665</v>
      </c>
      <c r="F23" s="30">
        <f t="shared" si="6"/>
        <v>3.333333333333333</v>
      </c>
      <c r="G23" s="31">
        <f t="shared" si="6"/>
        <v>4</v>
      </c>
      <c r="H23" s="31">
        <f t="shared" si="6"/>
        <v>4.6666666666666661</v>
      </c>
      <c r="I23" s="32">
        <f t="shared" si="6"/>
        <v>5.333333333333333</v>
      </c>
      <c r="J23" s="28">
        <f t="shared" si="6"/>
        <v>6</v>
      </c>
      <c r="K23" s="28">
        <f t="shared" si="6"/>
        <v>6.6666666666666661</v>
      </c>
      <c r="L23" s="29">
        <f t="shared" si="6"/>
        <v>7.333333333333333</v>
      </c>
      <c r="M23" s="30">
        <f t="shared" si="6"/>
        <v>8</v>
      </c>
      <c r="N23" s="12"/>
      <c r="O23" s="13"/>
      <c r="P23" s="15"/>
      <c r="Q23" s="15"/>
    </row>
    <row r="24" spans="1:17" x14ac:dyDescent="0.25">
      <c r="A24">
        <v>6</v>
      </c>
      <c r="B24" s="9">
        <f>$G$15*B$18</f>
        <v>0.58333333333333337</v>
      </c>
      <c r="C24" s="10">
        <f t="shared" ref="C24:M24" si="7">$G$15*C$18</f>
        <v>1.1666666666666667</v>
      </c>
      <c r="D24" s="10">
        <f t="shared" si="7"/>
        <v>1.75</v>
      </c>
      <c r="E24" s="11">
        <f t="shared" si="7"/>
        <v>2.3333333333333335</v>
      </c>
      <c r="F24" s="11">
        <f t="shared" si="7"/>
        <v>2.916666666666667</v>
      </c>
      <c r="G24" s="12">
        <f t="shared" si="7"/>
        <v>3.5</v>
      </c>
      <c r="H24" s="13">
        <f t="shared" si="7"/>
        <v>4.0833333333333339</v>
      </c>
      <c r="I24" s="13">
        <f t="shared" si="7"/>
        <v>4.666666666666667</v>
      </c>
      <c r="J24" s="14">
        <f t="shared" si="7"/>
        <v>5.25</v>
      </c>
      <c r="K24" s="14">
        <f t="shared" si="7"/>
        <v>5.8333333333333339</v>
      </c>
      <c r="L24" s="10">
        <f t="shared" si="7"/>
        <v>6.416666666666667</v>
      </c>
      <c r="M24" s="11">
        <f t="shared" si="7"/>
        <v>7</v>
      </c>
      <c r="N24" s="11"/>
      <c r="O24" s="12"/>
      <c r="P24" s="12"/>
      <c r="Q24" s="13"/>
    </row>
    <row r="25" spans="1:17" x14ac:dyDescent="0.25">
      <c r="A25" s="26">
        <v>7</v>
      </c>
      <c r="B25" s="27">
        <f>$H$15*B$18</f>
        <v>0.5</v>
      </c>
      <c r="C25" s="28">
        <f t="shared" ref="C25:M25" si="8">$H$15*C$18</f>
        <v>1</v>
      </c>
      <c r="D25" s="28">
        <f t="shared" si="8"/>
        <v>1.5</v>
      </c>
      <c r="E25" s="29">
        <f t="shared" si="8"/>
        <v>2</v>
      </c>
      <c r="F25" s="29">
        <f t="shared" si="8"/>
        <v>2.5</v>
      </c>
      <c r="G25" s="30">
        <f t="shared" si="8"/>
        <v>3</v>
      </c>
      <c r="H25" s="30">
        <f t="shared" si="8"/>
        <v>3.5</v>
      </c>
      <c r="I25" s="31">
        <f t="shared" si="8"/>
        <v>4</v>
      </c>
      <c r="J25" s="31">
        <f t="shared" si="8"/>
        <v>4.5</v>
      </c>
      <c r="K25" s="32">
        <f t="shared" si="8"/>
        <v>5</v>
      </c>
      <c r="L25" s="32">
        <f t="shared" si="8"/>
        <v>5.5</v>
      </c>
      <c r="M25" s="28">
        <f t="shared" si="8"/>
        <v>6</v>
      </c>
      <c r="N25" s="10"/>
      <c r="O25" s="11"/>
      <c r="P25" s="11"/>
      <c r="Q25" s="12"/>
    </row>
    <row r="26" spans="1:17" x14ac:dyDescent="0.25">
      <c r="A26" s="19">
        <v>8</v>
      </c>
      <c r="B26" s="20">
        <f>$I$15*B$18</f>
        <v>0.41666666666666669</v>
      </c>
      <c r="C26" s="20">
        <f t="shared" ref="C26:M26" si="9">$I$15*C$18</f>
        <v>0.83333333333333337</v>
      </c>
      <c r="D26" s="21">
        <f t="shared" si="9"/>
        <v>1.25</v>
      </c>
      <c r="E26" s="21">
        <f t="shared" si="9"/>
        <v>1.6666666666666667</v>
      </c>
      <c r="F26" s="22">
        <f t="shared" si="9"/>
        <v>2.0833333333333335</v>
      </c>
      <c r="G26" s="22">
        <f t="shared" si="9"/>
        <v>2.5</v>
      </c>
      <c r="H26" s="22">
        <f t="shared" si="9"/>
        <v>2.916666666666667</v>
      </c>
      <c r="I26" s="23">
        <f t="shared" si="9"/>
        <v>3.3333333333333335</v>
      </c>
      <c r="J26" s="23">
        <f t="shared" si="9"/>
        <v>3.75</v>
      </c>
      <c r="K26" s="24">
        <f t="shared" si="9"/>
        <v>4.166666666666667</v>
      </c>
      <c r="L26" s="24">
        <f t="shared" si="9"/>
        <v>4.5833333333333339</v>
      </c>
      <c r="M26" s="25">
        <f t="shared" si="9"/>
        <v>5</v>
      </c>
      <c r="N26" s="14"/>
      <c r="O26" s="14"/>
      <c r="P26" s="10"/>
      <c r="Q26" s="10"/>
    </row>
    <row r="27" spans="1:17" x14ac:dyDescent="0.25">
      <c r="A27">
        <v>9</v>
      </c>
      <c r="B27" s="9">
        <f>$J$15*B$18</f>
        <v>0.33333333333333331</v>
      </c>
      <c r="C27" s="9">
        <f t="shared" ref="C27:M27" si="10">$J$15*C$18</f>
        <v>0.66666666666666663</v>
      </c>
      <c r="D27" s="10">
        <f t="shared" si="10"/>
        <v>1</v>
      </c>
      <c r="E27" s="10">
        <f t="shared" si="10"/>
        <v>1.3333333333333333</v>
      </c>
      <c r="F27" s="10">
        <f t="shared" si="10"/>
        <v>1.6666666666666665</v>
      </c>
      <c r="G27" s="11">
        <f t="shared" si="10"/>
        <v>2</v>
      </c>
      <c r="H27" s="11">
        <f t="shared" si="10"/>
        <v>2.333333333333333</v>
      </c>
      <c r="I27" s="11">
        <f t="shared" si="10"/>
        <v>2.6666666666666665</v>
      </c>
      <c r="J27" s="12">
        <f t="shared" si="10"/>
        <v>3</v>
      </c>
      <c r="K27" s="12">
        <f t="shared" si="10"/>
        <v>3.333333333333333</v>
      </c>
      <c r="L27" s="12">
        <f t="shared" si="10"/>
        <v>3.6666666666666665</v>
      </c>
      <c r="M27" s="13">
        <f t="shared" si="10"/>
        <v>4</v>
      </c>
      <c r="N27" s="13"/>
      <c r="O27" s="13"/>
      <c r="P27" s="14"/>
      <c r="Q27" s="14"/>
    </row>
    <row r="28" spans="1:17" x14ac:dyDescent="0.25">
      <c r="A28">
        <v>10</v>
      </c>
      <c r="B28" s="9">
        <f>$K$15*B$18</f>
        <v>0.25</v>
      </c>
      <c r="C28" s="9">
        <f t="shared" ref="C28:M28" si="11">$K$15*C$18</f>
        <v>0.5</v>
      </c>
      <c r="D28" s="9">
        <f t="shared" si="11"/>
        <v>0.75</v>
      </c>
      <c r="E28" s="10">
        <f t="shared" si="11"/>
        <v>1</v>
      </c>
      <c r="F28" s="10">
        <f t="shared" si="11"/>
        <v>1.25</v>
      </c>
      <c r="G28" s="10">
        <f t="shared" si="11"/>
        <v>1.5</v>
      </c>
      <c r="H28" s="10">
        <f t="shared" si="11"/>
        <v>1.75</v>
      </c>
      <c r="I28" s="11">
        <f t="shared" si="11"/>
        <v>2</v>
      </c>
      <c r="J28" s="11">
        <f t="shared" si="11"/>
        <v>2.25</v>
      </c>
      <c r="K28" s="11">
        <f t="shared" si="11"/>
        <v>2.5</v>
      </c>
      <c r="L28" s="11">
        <f t="shared" si="11"/>
        <v>2.75</v>
      </c>
      <c r="M28" s="12">
        <f t="shared" si="11"/>
        <v>3</v>
      </c>
      <c r="N28" s="12"/>
      <c r="O28" s="12"/>
      <c r="P28" s="12"/>
      <c r="Q28" s="13"/>
    </row>
    <row r="29" spans="1:17" x14ac:dyDescent="0.25">
      <c r="A29">
        <v>11</v>
      </c>
      <c r="B29" s="9">
        <f>$L$15*B$18</f>
        <v>0.16666666666666666</v>
      </c>
      <c r="C29" s="9">
        <f t="shared" ref="C29:M29" si="12">$L$15*C$18</f>
        <v>0.33333333333333331</v>
      </c>
      <c r="D29" s="9">
        <f t="shared" si="12"/>
        <v>0.5</v>
      </c>
      <c r="E29" s="9">
        <f t="shared" si="12"/>
        <v>0.66666666666666663</v>
      </c>
      <c r="F29" s="9">
        <f t="shared" si="12"/>
        <v>0.83333333333333326</v>
      </c>
      <c r="G29" s="10">
        <f t="shared" si="12"/>
        <v>1</v>
      </c>
      <c r="H29" s="10">
        <f t="shared" si="12"/>
        <v>1.1666666666666665</v>
      </c>
      <c r="I29" s="10">
        <f t="shared" si="12"/>
        <v>1.3333333333333333</v>
      </c>
      <c r="J29" s="10">
        <f t="shared" si="12"/>
        <v>1.5</v>
      </c>
      <c r="K29" s="10">
        <f t="shared" si="12"/>
        <v>1.6666666666666665</v>
      </c>
      <c r="L29" s="10">
        <f t="shared" si="12"/>
        <v>1.8333333333333333</v>
      </c>
      <c r="M29" s="11">
        <f t="shared" si="12"/>
        <v>2</v>
      </c>
      <c r="N29" s="11"/>
      <c r="O29" s="11"/>
      <c r="P29" s="11"/>
      <c r="Q29" s="11"/>
    </row>
    <row r="30" spans="1:17" x14ac:dyDescent="0.25">
      <c r="A30">
        <v>12</v>
      </c>
      <c r="B30" s="9">
        <f>$M$15*B$18</f>
        <v>8.3333333333333329E-2</v>
      </c>
      <c r="C30" s="9">
        <f t="shared" ref="C30:M30" si="13">$M$15*C$18</f>
        <v>0.16666666666666666</v>
      </c>
      <c r="D30" s="9">
        <f t="shared" si="13"/>
        <v>0.25</v>
      </c>
      <c r="E30" s="9">
        <f t="shared" si="13"/>
        <v>0.33333333333333331</v>
      </c>
      <c r="F30" s="9">
        <f t="shared" si="13"/>
        <v>0.41666666666666663</v>
      </c>
      <c r="G30" s="9">
        <f t="shared" si="13"/>
        <v>0.5</v>
      </c>
      <c r="H30" s="9">
        <f t="shared" si="13"/>
        <v>0.58333333333333326</v>
      </c>
      <c r="I30" s="9">
        <f t="shared" si="13"/>
        <v>0.66666666666666663</v>
      </c>
      <c r="J30" s="9">
        <f t="shared" si="13"/>
        <v>0.75</v>
      </c>
      <c r="K30" s="9">
        <f t="shared" si="13"/>
        <v>0.83333333333333326</v>
      </c>
      <c r="L30" s="9">
        <f t="shared" si="13"/>
        <v>0.91666666666666663</v>
      </c>
      <c r="M30" s="10">
        <f t="shared" si="13"/>
        <v>1</v>
      </c>
      <c r="N30" s="10"/>
      <c r="O30" s="10"/>
      <c r="P30" s="10"/>
      <c r="Q30" s="10"/>
    </row>
    <row r="32" spans="1:17" x14ac:dyDescent="0.25">
      <c r="A32" t="s">
        <v>55</v>
      </c>
      <c r="B32" s="271" t="s">
        <v>53</v>
      </c>
      <c r="C32" s="271"/>
      <c r="D32" s="271"/>
      <c r="E32" s="271"/>
      <c r="F32" s="271"/>
      <c r="G32" s="271"/>
      <c r="H32" s="271"/>
      <c r="I32" s="271"/>
      <c r="J32" s="271"/>
      <c r="K32" s="271"/>
      <c r="L32" s="271"/>
      <c r="M32" s="271"/>
      <c r="N32" s="271"/>
    </row>
    <row r="33" spans="1:14" x14ac:dyDescent="0.25">
      <c r="A33" s="16" t="s">
        <v>102</v>
      </c>
      <c r="B33" s="17">
        <v>0</v>
      </c>
      <c r="C33" s="17">
        <v>1</v>
      </c>
      <c r="D33" s="17">
        <v>2</v>
      </c>
      <c r="E33" s="17">
        <v>3</v>
      </c>
      <c r="F33" s="17">
        <v>4</v>
      </c>
      <c r="G33" s="17">
        <v>5</v>
      </c>
      <c r="H33" s="17">
        <v>6</v>
      </c>
      <c r="I33" s="17">
        <v>7</v>
      </c>
      <c r="J33" s="17">
        <v>8</v>
      </c>
      <c r="K33" s="17">
        <v>9</v>
      </c>
      <c r="L33" s="17">
        <v>10</v>
      </c>
      <c r="M33" s="17">
        <v>11</v>
      </c>
      <c r="N33" s="17">
        <v>12</v>
      </c>
    </row>
    <row r="34" spans="1:14" x14ac:dyDescent="0.25">
      <c r="A34" s="18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 s="18">
        <v>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 s="18">
        <v>2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s="18">
        <v>3</v>
      </c>
      <c r="B37">
        <v>0</v>
      </c>
      <c r="C37">
        <v>0</v>
      </c>
      <c r="D37">
        <v>2</v>
      </c>
      <c r="E37">
        <v>2</v>
      </c>
      <c r="F37">
        <v>2</v>
      </c>
      <c r="G37">
        <v>2</v>
      </c>
      <c r="H37">
        <v>1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</row>
    <row r="38" spans="1:14" x14ac:dyDescent="0.25">
      <c r="A38" s="18">
        <v>4</v>
      </c>
      <c r="B38">
        <v>0</v>
      </c>
      <c r="C38">
        <v>0</v>
      </c>
      <c r="D38">
        <v>3</v>
      </c>
      <c r="E38">
        <v>3</v>
      </c>
      <c r="F38">
        <v>3</v>
      </c>
      <c r="G38">
        <v>2</v>
      </c>
      <c r="H38">
        <v>2</v>
      </c>
      <c r="I38">
        <v>2</v>
      </c>
      <c r="J38">
        <v>1</v>
      </c>
      <c r="K38">
        <v>1</v>
      </c>
      <c r="L38">
        <v>1</v>
      </c>
      <c r="M38">
        <v>0</v>
      </c>
      <c r="N38">
        <v>0</v>
      </c>
    </row>
    <row r="39" spans="1:14" x14ac:dyDescent="0.25">
      <c r="A39" s="18">
        <v>5</v>
      </c>
      <c r="B39">
        <v>0</v>
      </c>
      <c r="C39">
        <v>0</v>
      </c>
      <c r="D39">
        <v>4</v>
      </c>
      <c r="E39">
        <v>4</v>
      </c>
      <c r="F39">
        <v>3</v>
      </c>
      <c r="G39">
        <v>3</v>
      </c>
      <c r="H39">
        <v>2</v>
      </c>
      <c r="I39">
        <v>2</v>
      </c>
      <c r="J39">
        <v>2</v>
      </c>
      <c r="K39">
        <v>1</v>
      </c>
      <c r="L39">
        <v>1</v>
      </c>
      <c r="M39">
        <v>0</v>
      </c>
      <c r="N39">
        <v>0</v>
      </c>
    </row>
    <row r="40" spans="1:14" x14ac:dyDescent="0.25">
      <c r="A40" s="18">
        <v>6</v>
      </c>
      <c r="B40">
        <v>0</v>
      </c>
      <c r="C40">
        <v>0</v>
      </c>
      <c r="D40">
        <v>5</v>
      </c>
      <c r="E40">
        <v>5</v>
      </c>
      <c r="F40">
        <v>4</v>
      </c>
      <c r="G40">
        <v>4</v>
      </c>
      <c r="H40">
        <v>3</v>
      </c>
      <c r="I40">
        <v>3</v>
      </c>
      <c r="J40">
        <v>2</v>
      </c>
      <c r="K40">
        <v>2</v>
      </c>
      <c r="L40">
        <v>1</v>
      </c>
      <c r="M40">
        <v>1</v>
      </c>
      <c r="N40">
        <v>0</v>
      </c>
    </row>
    <row r="41" spans="1:14" x14ac:dyDescent="0.25">
      <c r="A41" s="18">
        <v>7</v>
      </c>
      <c r="B41">
        <v>0</v>
      </c>
      <c r="C41">
        <v>0</v>
      </c>
      <c r="D41">
        <v>6</v>
      </c>
      <c r="E41">
        <v>5</v>
      </c>
      <c r="F41">
        <v>5</v>
      </c>
      <c r="G41">
        <v>4</v>
      </c>
      <c r="H41">
        <v>3</v>
      </c>
      <c r="I41">
        <v>3</v>
      </c>
      <c r="J41">
        <v>2</v>
      </c>
      <c r="K41">
        <v>2</v>
      </c>
      <c r="L41">
        <v>1</v>
      </c>
      <c r="M41">
        <v>1</v>
      </c>
      <c r="N41">
        <v>0</v>
      </c>
    </row>
    <row r="42" spans="1:14" x14ac:dyDescent="0.25">
      <c r="A42" s="18">
        <v>8</v>
      </c>
      <c r="B42">
        <v>0</v>
      </c>
      <c r="C42">
        <v>0</v>
      </c>
      <c r="D42">
        <v>7</v>
      </c>
      <c r="E42">
        <v>6</v>
      </c>
      <c r="F42">
        <v>6</v>
      </c>
      <c r="G42">
        <v>5</v>
      </c>
      <c r="H42">
        <v>4</v>
      </c>
      <c r="I42">
        <v>4</v>
      </c>
      <c r="J42">
        <v>3</v>
      </c>
      <c r="K42">
        <v>2</v>
      </c>
      <c r="L42">
        <v>2</v>
      </c>
      <c r="M42">
        <v>1</v>
      </c>
      <c r="N42">
        <v>0</v>
      </c>
    </row>
    <row r="43" spans="1:14" x14ac:dyDescent="0.25">
      <c r="A43" s="18">
        <v>9</v>
      </c>
      <c r="B43">
        <v>0</v>
      </c>
      <c r="C43">
        <v>0</v>
      </c>
      <c r="D43">
        <v>8</v>
      </c>
      <c r="E43">
        <v>7</v>
      </c>
      <c r="F43">
        <v>6</v>
      </c>
      <c r="G43">
        <v>6</v>
      </c>
      <c r="H43">
        <v>4</v>
      </c>
      <c r="I43">
        <v>4</v>
      </c>
      <c r="J43">
        <v>3</v>
      </c>
      <c r="K43">
        <v>3</v>
      </c>
      <c r="L43">
        <v>2</v>
      </c>
      <c r="M43">
        <v>1</v>
      </c>
      <c r="N43">
        <v>0</v>
      </c>
    </row>
    <row r="44" spans="1:14" x14ac:dyDescent="0.25">
      <c r="A44" s="18">
        <v>10</v>
      </c>
      <c r="B44">
        <v>0</v>
      </c>
      <c r="C44">
        <v>0</v>
      </c>
      <c r="D44">
        <v>9</v>
      </c>
      <c r="E44">
        <v>8</v>
      </c>
      <c r="F44">
        <v>7</v>
      </c>
      <c r="G44">
        <v>6</v>
      </c>
      <c r="H44">
        <v>5</v>
      </c>
      <c r="I44">
        <v>5</v>
      </c>
      <c r="J44">
        <v>4</v>
      </c>
      <c r="K44">
        <v>3</v>
      </c>
      <c r="L44">
        <v>2</v>
      </c>
      <c r="M44">
        <v>1</v>
      </c>
      <c r="N44">
        <v>0</v>
      </c>
    </row>
    <row r="45" spans="1:14" x14ac:dyDescent="0.25">
      <c r="A45" s="18">
        <v>11</v>
      </c>
      <c r="B45">
        <v>0</v>
      </c>
      <c r="C45">
        <v>0</v>
      </c>
      <c r="D45">
        <v>10</v>
      </c>
      <c r="E45">
        <v>9</v>
      </c>
      <c r="F45">
        <v>8</v>
      </c>
      <c r="G45">
        <v>7</v>
      </c>
      <c r="H45">
        <v>6</v>
      </c>
      <c r="I45">
        <v>5</v>
      </c>
      <c r="J45">
        <v>4</v>
      </c>
      <c r="K45">
        <v>3</v>
      </c>
      <c r="L45">
        <v>2</v>
      </c>
      <c r="M45">
        <v>1</v>
      </c>
      <c r="N45">
        <v>0</v>
      </c>
    </row>
    <row r="46" spans="1:14" x14ac:dyDescent="0.25">
      <c r="A46" s="18">
        <v>12</v>
      </c>
      <c r="B46">
        <v>0</v>
      </c>
      <c r="C46">
        <v>0</v>
      </c>
      <c r="D46">
        <v>11</v>
      </c>
      <c r="E46">
        <v>10</v>
      </c>
      <c r="F46">
        <v>9</v>
      </c>
      <c r="G46">
        <v>8</v>
      </c>
      <c r="H46">
        <v>7</v>
      </c>
      <c r="I46">
        <v>6</v>
      </c>
      <c r="J46">
        <v>5</v>
      </c>
      <c r="K46">
        <v>4</v>
      </c>
      <c r="L46">
        <v>3</v>
      </c>
      <c r="M46">
        <v>2</v>
      </c>
      <c r="N46">
        <v>1</v>
      </c>
    </row>
  </sheetData>
  <sheetProtection algorithmName="SHA-512" hashValue="+a7sGiVvhFFu5wNKS/ecAQWenk9ICdpLUhFU2kMidYzzVd27kEt3bfqixuN9IV+u9UFOQGztnbUbRS/ZDCZvvA==" saltValue="ZuZR7sbRNNitvmunMKfN9w==" spinCount="100000" sheet="1" objects="1" scenarios="1"/>
  <mergeCells count="2">
    <mergeCell ref="B17:Q17"/>
    <mergeCell ref="B32:N3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Doc</vt:lpstr>
      <vt:lpstr>Character Controls</vt:lpstr>
      <vt:lpstr>Proficiency</vt:lpstr>
      <vt:lpstr>Morals</vt:lpstr>
      <vt:lpstr>Parameters</vt:lpstr>
      <vt:lpstr>Characteristics</vt:lpstr>
      <vt:lpstr>Skill List</vt:lpstr>
      <vt:lpstr>Glossary</vt:lpstr>
      <vt:lpstr>Tier Constraints</vt:lpstr>
      <vt:lpstr>GearCosts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 Bastian</dc:creator>
  <cp:lastModifiedBy>Christina Moore</cp:lastModifiedBy>
  <cp:lastPrinted>2022-01-12T03:49:54Z</cp:lastPrinted>
  <dcterms:created xsi:type="dcterms:W3CDTF">2021-12-15T12:28:39Z</dcterms:created>
  <dcterms:modified xsi:type="dcterms:W3CDTF">2022-02-03T22:22:09Z</dcterms:modified>
</cp:coreProperties>
</file>