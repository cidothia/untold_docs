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namedSheetViews/namedSheetView1.xml" ContentType="application/vnd.ms-excel.namedsheetview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3d0be08dd303885/Documents/RPG/Untold RPG/"/>
    </mc:Choice>
  </mc:AlternateContent>
  <xr:revisionPtr revIDLastSave="389" documentId="8_{A892CECB-75D8-4F0F-ACAC-6AA2127D5B38}" xr6:coauthVersionLast="47" xr6:coauthVersionMax="47" xr10:uidLastSave="{2D0BCE1E-AA7D-486D-8234-9BB441C29EA3}"/>
  <bookViews>
    <workbookView xWindow="3710" yWindow="560" windowWidth="28800" windowHeight="18930" activeTab="5" xr2:uid="{B08EC5AE-2733-4F38-B4CD-D3B7BD12B24B}"/>
  </bookViews>
  <sheets>
    <sheet name="Doc" sheetId="1" r:id="rId1"/>
    <sheet name="Character Controls" sheetId="16" r:id="rId2"/>
    <sheet name="Proficiency" sheetId="15" r:id="rId3"/>
    <sheet name="Morals" sheetId="10" r:id="rId4"/>
    <sheet name="Parameters" sheetId="5" r:id="rId5"/>
    <sheet name="Characteristics" sheetId="13" r:id="rId6"/>
    <sheet name="Skill List" sheetId="14" r:id="rId7"/>
    <sheet name="Characteristic Tables" sheetId="17" r:id="rId8"/>
    <sheet name="Glossary" sheetId="12" r:id="rId9"/>
    <sheet name="Tier Constraints" sheetId="6" r:id="rId10"/>
  </sheets>
  <externalReferences>
    <externalReference r:id="rId11"/>
  </externalReferences>
  <definedNames>
    <definedName name="_ACTR_1" localSheetId="3">'[1]Skill Calcs'!$Q$2</definedName>
    <definedName name="_ACTR_1">#REF!</definedName>
    <definedName name="_ACTR_2">#REF!</definedName>
    <definedName name="_ACTR_3">#REF!</definedName>
    <definedName name="_ACTR_4">#REF!</definedName>
    <definedName name="_ACTR_5">#REF!</definedName>
    <definedName name="_ACTR_6">#REF!</definedName>
    <definedName name="_ACTR_7">#REF!</definedName>
    <definedName name="_ACTR_8">#REF!</definedName>
    <definedName name="_ACTR_9">#REF!</definedName>
    <definedName name="_AE_CBulk_1">#REF!</definedName>
    <definedName name="_AE_CBulk_2">#REF!</definedName>
    <definedName name="_AE_CBulk_3">#REF!</definedName>
    <definedName name="_AE_CBulk_4">#REF!</definedName>
    <definedName name="_AE_CBulk_5">#REF!</definedName>
    <definedName name="_AE_CBulk_6">#REF!</definedName>
    <definedName name="_AE_CBulk_7">#REF!</definedName>
    <definedName name="_AE_CBulk_8">#REF!</definedName>
    <definedName name="_AE_CBulk_9">#REF!</definedName>
    <definedName name="_AE_CCost_1">#REF!</definedName>
    <definedName name="_AE_CCost_2">#REF!</definedName>
    <definedName name="_AE_CCost_3">#REF!</definedName>
    <definedName name="_AE_CCost_4">#REF!</definedName>
    <definedName name="_AE_CCost_5">#REF!</definedName>
    <definedName name="_AE_CCost_6">#REF!</definedName>
    <definedName name="_AE_CCost_7">#REF!</definedName>
    <definedName name="_AE_CCost_8">#REF!</definedName>
    <definedName name="_AE_CCost_9">#REF!</definedName>
    <definedName name="_CTR_2" localSheetId="3">'[1]Skill Calcs'!$Q$3</definedName>
    <definedName name="_CTR_3" localSheetId="3">'[1]Skill Calcs'!$Q$4</definedName>
    <definedName name="_CTR_4" localSheetId="3">'[1]Skill Calcs'!$Q$5</definedName>
    <definedName name="_CTR_5" localSheetId="3">'[1]Skill Calcs'!$Q$6</definedName>
    <definedName name="_CTR_6" localSheetId="3">'[1]Skill Calcs'!$Q$7</definedName>
    <definedName name="_CTR_7" localSheetId="3">'[1]Skill Calcs'!$Q$8</definedName>
    <definedName name="_CTR_8" localSheetId="3">'[1]Skill Calcs'!$Q$9</definedName>
    <definedName name="_CTR_9" localSheetId="3">'[1]Skill Calcs'!$Q$10</definedName>
    <definedName name="_EqArmor_CBulk_1">#REF!</definedName>
    <definedName name="_EqArmor_CCost_1">#REF!</definedName>
    <definedName name="_Lang_CTR">#REF!</definedName>
    <definedName name="_OCTR_1">#REF!</definedName>
    <definedName name="_OCTR_2">#REF!</definedName>
    <definedName name="_OCTR_3">#REF!</definedName>
    <definedName name="_OCTR_4">#REF!</definedName>
    <definedName name="_OE_CBulk_1">#REF!</definedName>
    <definedName name="_OE_CBulk_2">#REF!</definedName>
    <definedName name="_OE_CBulk_3">#REF!</definedName>
    <definedName name="_OE_CBulk_4">#REF!</definedName>
    <definedName name="_OE_CCost_1">#REF!</definedName>
    <definedName name="_OE_CCost_2">#REF!</definedName>
    <definedName name="_OE_CCost_3">#REF!</definedName>
    <definedName name="_OE_CCost_4">#REF!</definedName>
    <definedName name="_Sum_Skill_Costs" localSheetId="3">'[1]Skill Calcs'!$S$11</definedName>
    <definedName name="_Sum_Skill_Costs">#REF!</definedName>
    <definedName name="A_Area_1">Doc!#REF!</definedName>
    <definedName name="A_Area_2">Doc!#REF!</definedName>
    <definedName name="A_Area_3">Doc!#REF!</definedName>
    <definedName name="A_Area_4">Doc!#REF!</definedName>
    <definedName name="A_Area_5">Doc!#REF!</definedName>
    <definedName name="A_Area_6">Doc!#REF!</definedName>
    <definedName name="A_Area_7">Doc!#REF!</definedName>
    <definedName name="A_Area_8">Doc!#REF!</definedName>
    <definedName name="A_Area_9">Doc!#REF!</definedName>
    <definedName name="A_Bolster_1">Doc!#REF!</definedName>
    <definedName name="A_Bolster_2">Doc!#REF!</definedName>
    <definedName name="A_Bolster_3">Doc!#REF!</definedName>
    <definedName name="A_Bolster_4">Doc!#REF!</definedName>
    <definedName name="A_Bolster_5">Doc!#REF!</definedName>
    <definedName name="A_Bolster_6">Doc!#REF!</definedName>
    <definedName name="A_Bolster_7">Doc!#REF!</definedName>
    <definedName name="A_Bolster_8">Doc!#REF!</definedName>
    <definedName name="A_Bolster_9">Doc!#REF!</definedName>
    <definedName name="A_Boost_1">Doc!#REF!</definedName>
    <definedName name="A_Boost_2">Doc!#REF!</definedName>
    <definedName name="A_Boost_3">Doc!#REF!</definedName>
    <definedName name="A_Boost_4">Doc!#REF!</definedName>
    <definedName name="A_Boost_5">Doc!#REF!</definedName>
    <definedName name="A_Boost_6">Doc!#REF!</definedName>
    <definedName name="A_Boost_7">Doc!#REF!</definedName>
    <definedName name="A_Boost_8">Doc!#REF!</definedName>
    <definedName name="A_Boost_9">Doc!#REF!</definedName>
    <definedName name="A_Bulk_1">Doc!#REF!</definedName>
    <definedName name="A_Bulk_2">Doc!#REF!</definedName>
    <definedName name="A_Bulk_3">Doc!#REF!</definedName>
    <definedName name="A_Bulk_4">Doc!#REF!</definedName>
    <definedName name="A_Bulk_5">Doc!#REF!</definedName>
    <definedName name="A_Bulk_6">Doc!#REF!</definedName>
    <definedName name="A_Bulk_7">Doc!#REF!</definedName>
    <definedName name="A_Bulk_8">Doc!#REF!</definedName>
    <definedName name="A_Bulk_9">Doc!#REF!</definedName>
    <definedName name="A_Dura_1">Doc!#REF!</definedName>
    <definedName name="A_Dura_2">Doc!#REF!</definedName>
    <definedName name="A_Dura_3">Doc!#REF!</definedName>
    <definedName name="A_Dura_4">Doc!#REF!</definedName>
    <definedName name="A_Dura_5">Doc!#REF!</definedName>
    <definedName name="A_Dura_6">Doc!#REF!</definedName>
    <definedName name="A_Dura_7">Doc!#REF!</definedName>
    <definedName name="A_Dura_8">Doc!#REF!</definedName>
    <definedName name="A_Dura_9">Doc!#REF!</definedName>
    <definedName name="A_Enhance_1">Doc!#REF!</definedName>
    <definedName name="A_Enhance_2">Doc!#REF!</definedName>
    <definedName name="A_Enhance_3">Doc!#REF!</definedName>
    <definedName name="A_Enhance_4">Doc!#REF!</definedName>
    <definedName name="A_Enhance_5">Doc!#REF!</definedName>
    <definedName name="A_Enhance_6">Doc!#REF!</definedName>
    <definedName name="A_Enhance_7">Doc!#REF!</definedName>
    <definedName name="A_Enhance_8">Doc!#REF!</definedName>
    <definedName name="A_Enhance_9">Doc!#REF!</definedName>
    <definedName name="A_Potency_1">Doc!#REF!</definedName>
    <definedName name="A_Potency_2">Doc!#REF!</definedName>
    <definedName name="A_Potency_3">Doc!#REF!</definedName>
    <definedName name="A_Potency_4">Doc!#REF!</definedName>
    <definedName name="A_Potency_5">Doc!#REF!</definedName>
    <definedName name="A_Potency_6">Doc!#REF!</definedName>
    <definedName name="A_Potency_7">Doc!#REF!</definedName>
    <definedName name="A_Potency_8">Doc!#REF!</definedName>
    <definedName name="A_Potency_9">Doc!#REF!</definedName>
    <definedName name="A_Range_1">Doc!#REF!</definedName>
    <definedName name="A_Range_2">Doc!#REF!</definedName>
    <definedName name="A_Range_3">Doc!#REF!</definedName>
    <definedName name="A_Range_4">Doc!#REF!</definedName>
    <definedName name="A_Range_5">Doc!#REF!</definedName>
    <definedName name="A_Range_6">Doc!#REF!</definedName>
    <definedName name="A_Range_7">Doc!#REF!</definedName>
    <definedName name="A_Range_8">Doc!#REF!</definedName>
    <definedName name="A_Range_9">Doc!#REF!</definedName>
    <definedName name="A_Sleek_1">Doc!#REF!</definedName>
    <definedName name="A_Sleek_2">Doc!#REF!</definedName>
    <definedName name="A_Sleek_3">Doc!#REF!</definedName>
    <definedName name="A_Sleek_4">Doc!#REF!</definedName>
    <definedName name="A_Sleek_5">Doc!#REF!</definedName>
    <definedName name="A_Sleek_6">Doc!#REF!</definedName>
    <definedName name="A_Sleek_7">Doc!#REF!</definedName>
    <definedName name="A_Sleek_8">Doc!#REF!</definedName>
    <definedName name="A_Sleek_9">Doc!#REF!</definedName>
    <definedName name="A_SR_1">Doc!#REF!</definedName>
    <definedName name="A_SR_2">Doc!#REF!</definedName>
    <definedName name="A_SR_3">Doc!#REF!</definedName>
    <definedName name="A_SR_4">Doc!#REF!</definedName>
    <definedName name="A_SR_5">Doc!#REF!</definedName>
    <definedName name="A_SR_6">Doc!#REF!</definedName>
    <definedName name="A_SR_7">Doc!#REF!</definedName>
    <definedName name="A_SR_8">Doc!#REF!</definedName>
    <definedName name="A_SR_9">Doc!#REF!</definedName>
    <definedName name="A_TN_1">Doc!#REF!</definedName>
    <definedName name="A_TN_2">Doc!#REF!</definedName>
    <definedName name="A_TN_3">Doc!#REF!</definedName>
    <definedName name="A_TN_4">Doc!#REF!</definedName>
    <definedName name="A_TN_5">Doc!#REF!</definedName>
    <definedName name="A_TN_6">Doc!#REF!</definedName>
    <definedName name="A_TN_7">Doc!#REF!</definedName>
    <definedName name="A_TN_8">Doc!#REF!</definedName>
    <definedName name="A_TN_9">Doc!#REF!</definedName>
    <definedName name="AE_Cost_1">Doc!#REF!</definedName>
    <definedName name="AE_Cost_2">Doc!#REF!</definedName>
    <definedName name="AE_Cost_3">Doc!#REF!</definedName>
    <definedName name="AE_Cost_4">Doc!#REF!</definedName>
    <definedName name="AE_Cost_5">Doc!#REF!</definedName>
    <definedName name="AE_Cost_6">Doc!#REF!</definedName>
    <definedName name="AE_Cost_7">Doc!#REF!</definedName>
    <definedName name="AE_Cost_8">Doc!#REF!</definedName>
    <definedName name="AE_Cost_9">Doc!#REF!</definedName>
    <definedName name="ATR_1">Doc!#REF!</definedName>
    <definedName name="ATR_2">Doc!#REF!</definedName>
    <definedName name="ATR_3">Doc!#REF!</definedName>
    <definedName name="ATR_4">Doc!#REF!</definedName>
    <definedName name="ATR_5">Doc!#REF!</definedName>
    <definedName name="ATR_6">Doc!#REF!</definedName>
    <definedName name="ATR_7">Doc!#REF!</definedName>
    <definedName name="ATR_8">Doc!#REF!</definedName>
    <definedName name="ATR_9">Doc!#REF!</definedName>
    <definedName name="BroadSkillAspects">#REF!</definedName>
    <definedName name="BroadSkills">#REF!</definedName>
    <definedName name="EdgeCosts">#REF!</definedName>
    <definedName name="EqArmor_AR_1">Doc!#REF!</definedName>
    <definedName name="EqArmor_Area_1">Doc!#REF!</definedName>
    <definedName name="EqArmor_Bolster_1">Doc!#REF!</definedName>
    <definedName name="EqArmor_Boost_1">Doc!#REF!</definedName>
    <definedName name="EqArmor_Bulk_1">Doc!#REF!</definedName>
    <definedName name="EqArmor_Cost_1">Doc!#REF!</definedName>
    <definedName name="EqArmor_Dura_1">Doc!#REF!</definedName>
    <definedName name="EqArmor_Enhance_1">Doc!#REF!</definedName>
    <definedName name="EqArmor_Range_1">Doc!#REF!</definedName>
    <definedName name="EqArmor_Sleek_1">Doc!#REF!</definedName>
    <definedName name="GearCosts">Doc!$FA$102</definedName>
    <definedName name="Lang_SR">Doc!#REF!</definedName>
    <definedName name="Lang_TN">Doc!#REF!</definedName>
    <definedName name="Lang_TR">Doc!#REF!</definedName>
    <definedName name="O_Area_1">Doc!#REF!</definedName>
    <definedName name="O_Area_2">Doc!#REF!</definedName>
    <definedName name="O_Area_3">Doc!#REF!</definedName>
    <definedName name="O_Area_4">Doc!#REF!</definedName>
    <definedName name="O_Bolster_1">Doc!#REF!</definedName>
    <definedName name="O_Bolster_2">Doc!#REF!</definedName>
    <definedName name="O_Bolster_3">Doc!#REF!</definedName>
    <definedName name="O_Bolster_4">Doc!#REF!</definedName>
    <definedName name="O_Boost_1">Doc!#REF!</definedName>
    <definedName name="O_Boost_2">Doc!#REF!</definedName>
    <definedName name="O_Boost_3">Doc!#REF!</definedName>
    <definedName name="O_Boost_4">Doc!#REF!</definedName>
    <definedName name="O_Bulk_1">Doc!#REF!</definedName>
    <definedName name="O_Bulk_2">Doc!#REF!</definedName>
    <definedName name="O_Bulk_3">Doc!#REF!</definedName>
    <definedName name="O_Bulk_4">Doc!#REF!</definedName>
    <definedName name="O_Dura_1">Doc!#REF!</definedName>
    <definedName name="O_Dura_2">Doc!#REF!</definedName>
    <definedName name="O_Dura_3">Doc!#REF!</definedName>
    <definedName name="O_Dura_4">Doc!#REF!</definedName>
    <definedName name="O_Enhance_1">Doc!#REF!</definedName>
    <definedName name="O_Enhance_2">Doc!#REF!</definedName>
    <definedName name="O_Enhance_3">Doc!#REF!</definedName>
    <definedName name="O_Enhance_4">Doc!#REF!</definedName>
    <definedName name="O_Potency_1">Doc!#REF!</definedName>
    <definedName name="O_Potency_2">Doc!#REF!</definedName>
    <definedName name="O_Potency_3">Doc!#REF!</definedName>
    <definedName name="O_Potency_4">Doc!#REF!</definedName>
    <definedName name="O_Range_1">Doc!#REF!</definedName>
    <definedName name="O_Range_2">Doc!#REF!</definedName>
    <definedName name="O_Range_3">Doc!#REF!</definedName>
    <definedName name="O_Range_4">Doc!#REF!</definedName>
    <definedName name="O_Sleek_1">Doc!#REF!</definedName>
    <definedName name="O_Sleek_2">Doc!#REF!</definedName>
    <definedName name="O_Sleek_3">Doc!#REF!</definedName>
    <definedName name="O_Sleek_4">Doc!#REF!</definedName>
    <definedName name="O_SR_1" comment="Crafting &amp; Knowledge Skill Rank 1">Doc!#REF!</definedName>
    <definedName name="O_SR_2">Doc!#REF!</definedName>
    <definedName name="O_SR_3">Doc!#REF!</definedName>
    <definedName name="O_SR_4">Doc!#REF!</definedName>
    <definedName name="O_TN_1">Doc!#REF!</definedName>
    <definedName name="O_TN_2">Doc!#REF!</definedName>
    <definedName name="O_TN_3">Doc!#REF!</definedName>
    <definedName name="O_TN_4">Doc!#REF!</definedName>
    <definedName name="O_TR_1">Doc!#REF!</definedName>
    <definedName name="O_TR_2">Doc!#REF!</definedName>
    <definedName name="O_TR_3">Doc!#REF!</definedName>
    <definedName name="O_TR_4">Doc!#REF!</definedName>
    <definedName name="OE_Cost_1">Doc!#REF!</definedName>
    <definedName name="OE_Cost_2">Doc!#REF!</definedName>
    <definedName name="OE_Cost_3">Doc!#REF!</definedName>
    <definedName name="OE_Cost_4">Doc!#REF!</definedName>
    <definedName name="S_TN_1" localSheetId="3">[1]Doc!$AP$7</definedName>
    <definedName name="S_TN_2" localSheetId="3">[1]Doc!$AP$17</definedName>
    <definedName name="S_TN_3" localSheetId="3">[1]Doc!$AP$27</definedName>
    <definedName name="S_TN_4" localSheetId="3">[1]Doc!$AP$37</definedName>
    <definedName name="S_TN_5" localSheetId="3">[1]Doc!$AP$47</definedName>
    <definedName name="S_TN_6" localSheetId="3">[1]Doc!$AP$57</definedName>
    <definedName name="S_TN_7" localSheetId="3">[1]Doc!$AP$67</definedName>
    <definedName name="S_TN_8" localSheetId="3">[1]Doc!$AP$77</definedName>
    <definedName name="S_TN_9" localSheetId="3">[1]Doc!$AP$87</definedName>
    <definedName name="SR_1" localSheetId="3">[1]Doc!$AH$7</definedName>
    <definedName name="SR_2" localSheetId="3">[1]Doc!$AH$17</definedName>
    <definedName name="SR_3" localSheetId="3">[1]Doc!$AH$27</definedName>
    <definedName name="SR_4" localSheetId="3">[1]Doc!$AH$37</definedName>
    <definedName name="SR_5" localSheetId="3">[1]Doc!$AH$47</definedName>
    <definedName name="SR_6" localSheetId="3">[1]Doc!$AH$57</definedName>
    <definedName name="SR_7" localSheetId="3">[1]Doc!$AH$67</definedName>
    <definedName name="SR_8" localSheetId="3">[1]Doc!$AH$77</definedName>
    <definedName name="SR_9" localSheetId="3">[1]Doc!$AH$87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5" l="1"/>
  <c r="G2" i="15"/>
  <c r="C2" i="15"/>
  <c r="H3" i="14"/>
  <c r="H4" i="14" s="1"/>
  <c r="H5" i="14" s="1"/>
  <c r="H6" i="14" s="1"/>
  <c r="H7" i="14" s="1"/>
  <c r="H8" i="14" s="1"/>
  <c r="H9" i="14" s="1"/>
  <c r="H10" i="14" s="1"/>
  <c r="H11" i="14" s="1"/>
  <c r="H12" i="14" s="1"/>
  <c r="H13" i="14" s="1"/>
  <c r="H14" i="14" s="1"/>
  <c r="CA33" i="1"/>
  <c r="BR22" i="1"/>
  <c r="CA11" i="1"/>
  <c r="G20" i="6" l="1"/>
  <c r="H20" i="6"/>
  <c r="I20" i="6"/>
  <c r="J20" i="6"/>
  <c r="K20" i="6"/>
  <c r="M21" i="6"/>
  <c r="C22" i="6"/>
  <c r="D22" i="6"/>
  <c r="E22" i="6"/>
  <c r="H23" i="6"/>
  <c r="I23" i="6"/>
  <c r="J23" i="6"/>
  <c r="C26" i="6"/>
  <c r="D26" i="6"/>
  <c r="E26" i="6"/>
  <c r="F26" i="6"/>
  <c r="G26" i="6"/>
  <c r="H26" i="6"/>
  <c r="I26" i="6"/>
  <c r="C27" i="6"/>
  <c r="E27" i="6"/>
  <c r="H27" i="6"/>
  <c r="I27" i="6"/>
  <c r="J27" i="6"/>
  <c r="K27" i="6"/>
  <c r="L27" i="6"/>
  <c r="M27" i="6"/>
  <c r="C28" i="6"/>
  <c r="H28" i="6"/>
  <c r="J28" i="6"/>
  <c r="M28" i="6"/>
  <c r="C29" i="6"/>
  <c r="D29" i="6"/>
  <c r="E29" i="6"/>
  <c r="F29" i="6"/>
  <c r="G29" i="6"/>
  <c r="H29" i="6"/>
  <c r="D30" i="6"/>
  <c r="E30" i="6"/>
  <c r="G30" i="6"/>
  <c r="H30" i="6"/>
  <c r="I30" i="6"/>
  <c r="J30" i="6"/>
  <c r="K30" i="6"/>
  <c r="L30" i="6"/>
  <c r="M30" i="6"/>
  <c r="B26" i="6"/>
  <c r="C19" i="6"/>
  <c r="D19" i="6"/>
  <c r="E19" i="6"/>
  <c r="F19" i="6"/>
  <c r="G19" i="6"/>
  <c r="B19" i="6"/>
  <c r="L15" i="6"/>
  <c r="I29" i="6" s="1"/>
  <c r="M15" i="6"/>
  <c r="B30" i="6" s="1"/>
  <c r="B15" i="6"/>
  <c r="H19" i="6" s="1"/>
  <c r="C15" i="6"/>
  <c r="L20" i="6" s="1"/>
  <c r="D15" i="6"/>
  <c r="C21" i="6" s="1"/>
  <c r="E15" i="6"/>
  <c r="F22" i="6" s="1"/>
  <c r="F15" i="6"/>
  <c r="K23" i="6" s="1"/>
  <c r="G15" i="6"/>
  <c r="D24" i="6" s="1"/>
  <c r="H15" i="6"/>
  <c r="E25" i="6" s="1"/>
  <c r="I15" i="6"/>
  <c r="J26" i="6" s="1"/>
  <c r="K15" i="6"/>
  <c r="D28" i="6" s="1"/>
  <c r="J15" i="6"/>
  <c r="B27" i="6" s="1"/>
  <c r="BI33" i="1"/>
  <c r="BI11" i="1"/>
  <c r="L24" i="6" l="1"/>
  <c r="L21" i="6"/>
  <c r="B20" i="6"/>
  <c r="K21" i="6"/>
  <c r="B21" i="6"/>
  <c r="I24" i="6"/>
  <c r="D23" i="6"/>
  <c r="E20" i="6"/>
  <c r="F20" i="6"/>
  <c r="J21" i="6"/>
  <c r="B22" i="6"/>
  <c r="F30" i="6"/>
  <c r="L28" i="6"/>
  <c r="G27" i="6"/>
  <c r="M25" i="6"/>
  <c r="H24" i="6"/>
  <c r="C23" i="6"/>
  <c r="I21" i="6"/>
  <c r="D20" i="6"/>
  <c r="B23" i="6"/>
  <c r="K28" i="6"/>
  <c r="F27" i="6"/>
  <c r="L25" i="6"/>
  <c r="G24" i="6"/>
  <c r="M22" i="6"/>
  <c r="H21" i="6"/>
  <c r="C20" i="6"/>
  <c r="D25" i="6"/>
  <c r="G23" i="6"/>
  <c r="F24" i="6"/>
  <c r="L22" i="6"/>
  <c r="G21" i="6"/>
  <c r="M19" i="6"/>
  <c r="B25" i="6"/>
  <c r="C30" i="6"/>
  <c r="I28" i="6"/>
  <c r="D27" i="6"/>
  <c r="J25" i="6"/>
  <c r="E24" i="6"/>
  <c r="K22" i="6"/>
  <c r="F21" i="6"/>
  <c r="C25" i="6"/>
  <c r="K24" i="6"/>
  <c r="K25" i="6"/>
  <c r="M29" i="6"/>
  <c r="I25" i="6"/>
  <c r="K19" i="6"/>
  <c r="L29" i="6"/>
  <c r="G28" i="6"/>
  <c r="M26" i="6"/>
  <c r="H25" i="6"/>
  <c r="C24" i="6"/>
  <c r="I22" i="6"/>
  <c r="D21" i="6"/>
  <c r="M24" i="6"/>
  <c r="J24" i="6"/>
  <c r="E21" i="6"/>
  <c r="J19" i="6"/>
  <c r="B28" i="6"/>
  <c r="K29" i="6"/>
  <c r="F28" i="6"/>
  <c r="L26" i="6"/>
  <c r="G25" i="6"/>
  <c r="M23" i="6"/>
  <c r="H22" i="6"/>
  <c r="E23" i="6"/>
  <c r="B24" i="6"/>
  <c r="L19" i="6"/>
  <c r="J22" i="6"/>
  <c r="I19" i="6"/>
  <c r="B29" i="6"/>
  <c r="J29" i="6"/>
  <c r="E28" i="6"/>
  <c r="K26" i="6"/>
  <c r="F25" i="6"/>
  <c r="L23" i="6"/>
  <c r="G22" i="6"/>
  <c r="M20" i="6"/>
  <c r="F23" i="6"/>
  <c r="EV100" i="1" l="1" a="1"/>
  <c r="EV100" i="1" s="1"/>
  <c r="FJ10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<sst xmlns="http://schemas.openxmlformats.org/spreadsheetml/2006/main" count="1068" uniqueCount="682">
  <si>
    <t>Name:</t>
  </si>
  <si>
    <t>Species:</t>
  </si>
  <si>
    <t>Untold RPG</t>
  </si>
  <si>
    <t>Body</t>
  </si>
  <si>
    <t>Wounds &amp; Exertion</t>
  </si>
  <si>
    <t>Mind</t>
  </si>
  <si>
    <t>Endurance</t>
  </si>
  <si>
    <t>Tenacity</t>
  </si>
  <si>
    <t>Resilience</t>
  </si>
  <si>
    <t>Wounds</t>
  </si>
  <si>
    <t>Strain</t>
  </si>
  <si>
    <t>↘</t>
  </si>
  <si>
    <t>↙</t>
  </si>
  <si>
    <t>Vitality</t>
  </si>
  <si>
    <t>Sanity</t>
  </si>
  <si>
    <t>TN</t>
  </si>
  <si>
    <t>SR</t>
  </si>
  <si>
    <t>TR</t>
  </si>
  <si>
    <t>Skill</t>
  </si>
  <si>
    <t>base</t>
  </si>
  <si>
    <t>Conduct</t>
  </si>
  <si>
    <t>Cost</t>
  </si>
  <si>
    <t>Moral Code</t>
  </si>
  <si>
    <t>Currency Rank</t>
  </si>
  <si>
    <t>Society Rank</t>
  </si>
  <si>
    <t>Motivations &amp; Goals</t>
  </si>
  <si>
    <t>Description &amp; Traits</t>
  </si>
  <si>
    <t>AP</t>
  </si>
  <si>
    <t>spnt</t>
  </si>
  <si>
    <t>earn</t>
  </si>
  <si>
    <t>creation</t>
  </si>
  <si>
    <t>Cognition</t>
  </si>
  <si>
    <t>Craft</t>
  </si>
  <si>
    <t>Handling</t>
  </si>
  <si>
    <t>Infiltration</t>
  </si>
  <si>
    <t>Influence</t>
  </si>
  <si>
    <t>Knowledge</t>
  </si>
  <si>
    <t>Language</t>
  </si>
  <si>
    <t>Performance</t>
  </si>
  <si>
    <t>Piloting</t>
  </si>
  <si>
    <t>Survival</t>
  </si>
  <si>
    <t>Athletics</t>
  </si>
  <si>
    <t>Coordination</t>
  </si>
  <si>
    <t>Devotion</t>
  </si>
  <si>
    <t>Favor</t>
  </si>
  <si>
    <t>Spirit</t>
  </si>
  <si>
    <t>Will</t>
  </si>
  <si>
    <t>Killing</t>
  </si>
  <si>
    <t>Lying</t>
  </si>
  <si>
    <t>Breaking Word</t>
  </si>
  <si>
    <t>Stealing</t>
  </si>
  <si>
    <t>Denying Aid</t>
  </si>
  <si>
    <t>Conducts</t>
  </si>
  <si>
    <t>Target Number</t>
  </si>
  <si>
    <t>Rank</t>
  </si>
  <si>
    <t>Tier</t>
  </si>
  <si>
    <t>Target</t>
  </si>
  <si>
    <t>ava</t>
  </si>
  <si>
    <t>Engaged</t>
  </si>
  <si>
    <t>Close</t>
  </si>
  <si>
    <t>Near</t>
  </si>
  <si>
    <t>Short</t>
  </si>
  <si>
    <t>Apart</t>
  </si>
  <si>
    <t>Vast</t>
  </si>
  <si>
    <t>Continent</t>
  </si>
  <si>
    <t>World</t>
  </si>
  <si>
    <t>System</t>
  </si>
  <si>
    <t>Beyond</t>
  </si>
  <si>
    <t>It would take you several days to walk there.</t>
  </si>
  <si>
    <t>You could walk there in a day</t>
  </si>
  <si>
    <t>You could walk there in less than an hour</t>
  </si>
  <si>
    <t>You could see them unaided if you had 20/20 vision.</t>
  </si>
  <si>
    <t>Landmass away, an epic walk</t>
  </si>
  <si>
    <t>The entire Solar System contained by the Heliosphere of the Sun(s)</t>
  </si>
  <si>
    <t>Pretty much any distance, recommend that it isn't the entire galaxy.</t>
  </si>
  <si>
    <t>Instant</t>
  </si>
  <si>
    <t>a heartbeat</t>
  </si>
  <si>
    <t>Decade</t>
  </si>
  <si>
    <t>Year</t>
  </si>
  <si>
    <t>Season</t>
  </si>
  <si>
    <t>Scene</t>
  </si>
  <si>
    <t>Day</t>
  </si>
  <si>
    <t>Durations</t>
  </si>
  <si>
    <t>Potency</t>
  </si>
  <si>
    <t>-</t>
  </si>
  <si>
    <t>Range &amp; Area (Assign Cost Twice)</t>
  </si>
  <si>
    <t>InT</t>
  </si>
  <si>
    <t>OutT</t>
  </si>
  <si>
    <t>TN 9</t>
  </si>
  <si>
    <t>TN 10</t>
  </si>
  <si>
    <t>TN 8</t>
  </si>
  <si>
    <t>TN 7</t>
  </si>
  <si>
    <t>TN 6</t>
  </si>
  <si>
    <t>TN 5</t>
  </si>
  <si>
    <t>TN 4</t>
  </si>
  <si>
    <t>TN 2</t>
  </si>
  <si>
    <t>TN 3</t>
  </si>
  <si>
    <t>TN 1</t>
  </si>
  <si>
    <t>TN 11</t>
  </si>
  <si>
    <t>TN 12</t>
  </si>
  <si>
    <t>Facing</t>
  </si>
  <si>
    <t>Number of Dice</t>
  </si>
  <si>
    <t>S Rank</t>
  </si>
  <si>
    <t>City</t>
  </si>
  <si>
    <t>Novice</t>
  </si>
  <si>
    <t>Amateur</t>
  </si>
  <si>
    <t>Competent</t>
  </si>
  <si>
    <t>Practiced</t>
  </si>
  <si>
    <t>Proficient</t>
  </si>
  <si>
    <t>Adept</t>
  </si>
  <si>
    <t>Accomplished</t>
  </si>
  <si>
    <t>Veteran</t>
  </si>
  <si>
    <t>Expert</t>
  </si>
  <si>
    <t>Master</t>
  </si>
  <si>
    <t>Renowned</t>
  </si>
  <si>
    <t>Legendary</t>
  </si>
  <si>
    <t>Title</t>
  </si>
  <si>
    <t>Aspect</t>
  </si>
  <si>
    <t>Month</t>
  </si>
  <si>
    <t>Week</t>
  </si>
  <si>
    <t>Lifetime</t>
  </si>
  <si>
    <t>3 rounds</t>
  </si>
  <si>
    <t>6 rounds</t>
  </si>
  <si>
    <t>the turning of a planet</t>
  </si>
  <si>
    <t>Solstice to Equinox or vice versa</t>
  </si>
  <si>
    <t>a grouping of days, determined by a calendar</t>
  </si>
  <si>
    <t>the lifetime of the target</t>
  </si>
  <si>
    <t>Permanent</t>
  </si>
  <si>
    <t>incalculable duration</t>
  </si>
  <si>
    <t>within reach</t>
  </si>
  <si>
    <t>self or target</t>
  </si>
  <si>
    <t>Distant</t>
  </si>
  <si>
    <t>In Tribe</t>
  </si>
  <si>
    <t>Out of Tribe</t>
  </si>
  <si>
    <t>Active Skills:</t>
  </si>
  <si>
    <t>BTR</t>
  </si>
  <si>
    <t>BDR</t>
  </si>
  <si>
    <t>MDR</t>
  </si>
  <si>
    <t>MTR</t>
  </si>
  <si>
    <t>Boost</t>
  </si>
  <si>
    <t>Bolster</t>
  </si>
  <si>
    <t>Enhance</t>
  </si>
  <si>
    <t>Total</t>
  </si>
  <si>
    <t>NGL</t>
  </si>
  <si>
    <t>ESY</t>
  </si>
  <si>
    <t>AVG</t>
  </si>
  <si>
    <t>DAU</t>
  </si>
  <si>
    <t>FOR</t>
  </si>
  <si>
    <t>ARD</t>
  </si>
  <si>
    <t>SEV</t>
  </si>
  <si>
    <t>EXT</t>
  </si>
  <si>
    <t>ABS</t>
  </si>
  <si>
    <t>IMP</t>
  </si>
  <si>
    <t>TAX</t>
  </si>
  <si>
    <t>BAF</t>
  </si>
  <si>
    <t>DEM</t>
  </si>
  <si>
    <t>Represents the facet of Exertion which is attacked by opponents</t>
  </si>
  <si>
    <t>Exertion</t>
  </si>
  <si>
    <t>Wound</t>
  </si>
  <si>
    <t>Represents the facet of Devotion which Characters spend to add dice to the pool</t>
  </si>
  <si>
    <t>Abbreviation for Villain Points</t>
  </si>
  <si>
    <t>Playing</t>
  </si>
  <si>
    <t>VP</t>
  </si>
  <si>
    <t>Tertiary Exertion for the Body Aspect</t>
  </si>
  <si>
    <t>Represents a mechanic used by the GM to Introduce facts into the game.</t>
  </si>
  <si>
    <t>Villain Point</t>
  </si>
  <si>
    <t>The simplified name for this game.</t>
  </si>
  <si>
    <t>Untold</t>
  </si>
  <si>
    <t>The term for an effect of a Trait forcing the Character to reroll one or more Ayes, or with 2 a Boon.</t>
  </si>
  <si>
    <t>Check</t>
  </si>
  <si>
    <t>Abbreviation of Tier Rating, or Tier.</t>
  </si>
  <si>
    <t>Abbreviation of Target Number</t>
  </si>
  <si>
    <t>Refers to the number of Ayes you can statistically expect from a certain SR.</t>
  </si>
  <si>
    <t>The Primary Exertion for the Mind Aspect</t>
  </si>
  <si>
    <t>A Trait related directly to a skill which alters the way that skill may be performed.</t>
  </si>
  <si>
    <t>Character</t>
  </si>
  <si>
    <t>Technique</t>
  </si>
  <si>
    <t>The name of DL 3, referring to a Skill Check requiring 3 Ayes for Success</t>
  </si>
  <si>
    <t>Difficulty</t>
  </si>
  <si>
    <t>Taxing</t>
  </si>
  <si>
    <t>Determined by the results of Tallying the Dice Pool, if the total number of Ayes is greater than or equal to the DL.</t>
  </si>
  <si>
    <t>Success</t>
  </si>
  <si>
    <t>Represents the facet of Exertion which is spent by the Character</t>
  </si>
  <si>
    <t>Abbreviation of Skill Rank</t>
  </si>
  <si>
    <t>The term for an effect of a Trait which alters the Exertion Ratio.</t>
  </si>
  <si>
    <t>Spoil</t>
  </si>
  <si>
    <t>Represents the facet of Devotion which is attacked by opponents.</t>
  </si>
  <si>
    <t>A Skill which can be purchased and provides specific methods of completion of Tasks.</t>
  </si>
  <si>
    <t>Specific Skill</t>
  </si>
  <si>
    <t>A Specialization of a Specific Skill.</t>
  </si>
  <si>
    <t>Specialized Skill</t>
  </si>
  <si>
    <t>When the Facing of a d12 shows the number 1.</t>
  </si>
  <si>
    <t>Snag</t>
  </si>
  <si>
    <t>Characters utilize their proficiency in Skills to do tasks.</t>
  </si>
  <si>
    <t>The name of DL 9, referring to a Skill Check requiring 9 Ayes for Success</t>
  </si>
  <si>
    <t>Severe</t>
  </si>
  <si>
    <t>The Tertiary Exertion for the Mind Aspect.</t>
  </si>
  <si>
    <t>The Secondary Exertion, which uses the Body or Mind Aspect whichever is higher.</t>
  </si>
  <si>
    <t>The amount of proficiency the Character has in a certain Skill is called their Rank in that Skill, or SR.</t>
  </si>
  <si>
    <t>The people playing the Game using Characters, this also includes the GM.</t>
  </si>
  <si>
    <t>Player</t>
  </si>
  <si>
    <t>The term for a task that does not require a check to complete.  May still be rolled to generate Ayes, with the risk of generating Boons/Snags as well.</t>
  </si>
  <si>
    <t>Negligible</t>
  </si>
  <si>
    <t>When the Facing of a d12 shows a number less than the TN</t>
  </si>
  <si>
    <t>Nay</t>
  </si>
  <si>
    <t>All characters are bound by a Moral Code, the game assumes a basic one, but each Setting and game can modify this.</t>
  </si>
  <si>
    <t>Trait</t>
  </si>
  <si>
    <t>The Aspect of Skills require a majority of mental effort to succeed, or where mind and heart are primary factors to perform a task.</t>
  </si>
  <si>
    <t>The term for an effect of a Trait which lowers the Target Number needed for an Aye.</t>
  </si>
  <si>
    <t>Magnify</t>
  </si>
  <si>
    <t>The name of DL 12, referring to a Skill Check requiring 12 Ayes for Success</t>
  </si>
  <si>
    <t>Impossible</t>
  </si>
  <si>
    <t>Abbreviation for Hero Points</t>
  </si>
  <si>
    <t>HP</t>
  </si>
  <si>
    <t>The term for an effect of a Trait that raises the Difficulty of a task.</t>
  </si>
  <si>
    <t>Hinder</t>
  </si>
  <si>
    <t>Represents a mechanic used to Introduce facts into the game for Heroes.</t>
  </si>
  <si>
    <t>Hero Points</t>
  </si>
  <si>
    <t>Abbreviation for the Game Master</t>
  </si>
  <si>
    <t>GM</t>
  </si>
  <si>
    <t>Refers to any item which affects the way a Skill works, or if the skill is possible.  There are three types of Gear, Implied, Basic, and Enhanced</t>
  </si>
  <si>
    <t>Gear</t>
  </si>
  <si>
    <t>The Term for the Player who acts as Adjudicator and controls the NPCs and the environment.</t>
  </si>
  <si>
    <t>Game Master</t>
  </si>
  <si>
    <t>The name of DL 7, referring to a Skill Check requiring 7 Ayes for Success</t>
  </si>
  <si>
    <t>Formidable</t>
  </si>
  <si>
    <t>The term is used when any Exertion is depleted.</t>
  </si>
  <si>
    <t>Fatigue</t>
  </si>
  <si>
    <t>When rolled the side of the Die which is on top, or the number rolled.</t>
  </si>
  <si>
    <t>The name of DL 10, referring to a Skill Check requiring 10 Ayes for Success</t>
  </si>
  <si>
    <t>Extreme</t>
  </si>
  <si>
    <t>The term used for adding dice to the pool</t>
  </si>
  <si>
    <t>The Primary Exertion for the Body Aspect</t>
  </si>
  <si>
    <t>The collection of Traits for a character which directly affect the way you Tally a Check</t>
  </si>
  <si>
    <t>Edge</t>
  </si>
  <si>
    <t>The name of DL 1, referring to a Skill Check requiring 1 Ayes for Success</t>
  </si>
  <si>
    <t>Easy</t>
  </si>
  <si>
    <t>Abbreviation of Difficulty (Difficulty Level)</t>
  </si>
  <si>
    <t>DL</t>
  </si>
  <si>
    <t>Represents the number of Ayes required for success.</t>
  </si>
  <si>
    <t>The number of d12 rolled for a single check, begins as the SR, and can increase or decrease due to Exertion or Fatigue.</t>
  </si>
  <si>
    <t>Dice Pool</t>
  </si>
  <si>
    <t>Refers to pool of Exertion that can be used to influence Checks</t>
  </si>
  <si>
    <t>The name of DL 4, referring to a Skill Check requiring 4 Ayes for Success</t>
  </si>
  <si>
    <t>Demanding</t>
  </si>
  <si>
    <t>The term for an effect of a Trait which raises the Target Number needed for an Aye.</t>
  </si>
  <si>
    <t>Debilitate</t>
  </si>
  <si>
    <t>The name of DL 6, referring to a Skill Check requiring 6 Ayes for Success</t>
  </si>
  <si>
    <t>Daunting</t>
  </si>
  <si>
    <t>The size of the Dice used by the Untold RPG to determine the results of a Check</t>
  </si>
  <si>
    <t>D12</t>
  </si>
  <si>
    <t>Refers to a Check which has either Succeeded or Failed by 3 Ayes. A Critical Success for DL 2 requires 5 Ayes, and a Critical Failure for a DL 5 received only 2 Ayes.</t>
  </si>
  <si>
    <t>Critical</t>
  </si>
  <si>
    <t>When you need to determine if you succeed or fail at a Task, you will perform a Check using a Skill</t>
  </si>
  <si>
    <t>A single entity falls into one of two categories, Player and Non-Player.</t>
  </si>
  <si>
    <t>Characters</t>
  </si>
  <si>
    <t>Positive and Negative traits that define the Character</t>
  </si>
  <si>
    <t>Characteristics</t>
  </si>
  <si>
    <t>The characters' driving motivation is something they are Devoted to, allowing them to gain Devotion.</t>
  </si>
  <si>
    <t>Motivation</t>
  </si>
  <si>
    <t>Cause</t>
  </si>
  <si>
    <t>A Category or Collection of Skills which share methods or do related tasks.</t>
  </si>
  <si>
    <t>Broad Skill</t>
  </si>
  <si>
    <t>The term for an effect of a Trait that lowers the Difficulty of a task.</t>
  </si>
  <si>
    <t>When the Facing of a d12 shows the number 12.</t>
  </si>
  <si>
    <t>Boon</t>
  </si>
  <si>
    <t>The term for an effect of a Trait allowing the Character to reroll one or more Nays, or with 2 a Snag.</t>
  </si>
  <si>
    <t>The Aspect of Skills requires a majority of physical effort to succeed, or where physicality is primary in performing the task.</t>
  </si>
  <si>
    <t>The name of DL 5, referring to a Skill Check requiring 5 Ayes for Success</t>
  </si>
  <si>
    <t>Baffling</t>
  </si>
  <si>
    <t>When the Facing of a d12 shows a number greater to or equal to the TN</t>
  </si>
  <si>
    <t>Aye</t>
  </si>
  <si>
    <t>The name of DL 2, referring to a Skill Check requiring 2 Ayes for Success</t>
  </si>
  <si>
    <t>Average</t>
  </si>
  <si>
    <t>The name of DL 8, referring to a Skill Check requiring 8 Ayes for Success</t>
  </si>
  <si>
    <t>Arduous</t>
  </si>
  <si>
    <t>The name of DL 11, referring to a Skill Check requiring 11 Ayes for Success</t>
  </si>
  <si>
    <t>Absurd</t>
  </si>
  <si>
    <t>Definition</t>
  </si>
  <si>
    <t>Location</t>
  </si>
  <si>
    <t>Term</t>
  </si>
  <si>
    <t>x3</t>
  </si>
  <si>
    <t>x2</t>
  </si>
  <si>
    <t>x1</t>
  </si>
  <si>
    <t>Those you could play catch with or speak with if you raised your voice.</t>
  </si>
  <si>
    <t>The entire world is contained within a Magnetic Field.</t>
  </si>
  <si>
    <t>Those you could speak with without shouting in a restaurant.</t>
  </si>
  <si>
    <t>With Speaker and Microphone, they could hear you</t>
  </si>
  <si>
    <t>the complete cycle of a celestial body</t>
  </si>
  <si>
    <t>Characteristic</t>
  </si>
  <si>
    <t>Acute Senses</t>
  </si>
  <si>
    <t>Affluent</t>
  </si>
  <si>
    <t>Agile</t>
  </si>
  <si>
    <t>Ally</t>
  </si>
  <si>
    <t>Ambidextrous</t>
  </si>
  <si>
    <t>Artisan</t>
  </si>
  <si>
    <t>Benefactor</t>
  </si>
  <si>
    <t>Companion</t>
  </si>
  <si>
    <t>Connection</t>
  </si>
  <si>
    <t>Courageous</t>
  </si>
  <si>
    <t>Dead Eye</t>
  </si>
  <si>
    <t>Determined</t>
  </si>
  <si>
    <t>Hardy</t>
  </si>
  <si>
    <t>Resistance</t>
  </si>
  <si>
    <t>Inquisitive</t>
  </si>
  <si>
    <t>Intelligent</t>
  </si>
  <si>
    <t>Linguist</t>
  </si>
  <si>
    <t>Lithe</t>
  </si>
  <si>
    <t>Lucky</t>
  </si>
  <si>
    <t>Mighty</t>
  </si>
  <si>
    <t>Property</t>
  </si>
  <si>
    <t>Rapid Healer</t>
  </si>
  <si>
    <t>Resilient</t>
  </si>
  <si>
    <t>Resourceful</t>
  </si>
  <si>
    <t>Sincere</t>
  </si>
  <si>
    <t>Spatial Awareness</t>
  </si>
  <si>
    <t>Stable</t>
  </si>
  <si>
    <t>Versatile</t>
  </si>
  <si>
    <t>Virtuoso</t>
  </si>
  <si>
    <t>Virtuous</t>
  </si>
  <si>
    <t>Addiction</t>
  </si>
  <si>
    <t>Allergy</t>
  </si>
  <si>
    <t>Clumsy</t>
  </si>
  <si>
    <t>Contemptible</t>
  </si>
  <si>
    <t>Craven</t>
  </si>
  <si>
    <t>Deep Sleeper</t>
  </si>
  <si>
    <t>Delusional</t>
  </si>
  <si>
    <t>Despised</t>
  </si>
  <si>
    <t>Destitute</t>
  </si>
  <si>
    <t>Distinguishable</t>
  </si>
  <si>
    <t>Frail</t>
  </si>
  <si>
    <t>Impaired Senses</t>
  </si>
  <si>
    <t>Lowborn</t>
  </si>
  <si>
    <t>Monoglot</t>
  </si>
  <si>
    <t>Obligation</t>
  </si>
  <si>
    <t>Oblivious</t>
  </si>
  <si>
    <t>Obsession</t>
  </si>
  <si>
    <t>Performance Anxiety</t>
  </si>
  <si>
    <t>Phobia</t>
  </si>
  <si>
    <t>Poor Shot</t>
  </si>
  <si>
    <t>Prejudiced</t>
  </si>
  <si>
    <t>Settled</t>
  </si>
  <si>
    <t>Short Winded</t>
  </si>
  <si>
    <t>Sickly</t>
  </si>
  <si>
    <t>Simple</t>
  </si>
  <si>
    <t>Slow Healer</t>
  </si>
  <si>
    <t>Sluggish</t>
  </si>
  <si>
    <t>Timid</t>
  </si>
  <si>
    <t>Trauma Syndrome</t>
  </si>
  <si>
    <t>Unfortunate Trait</t>
  </si>
  <si>
    <t>Unstable</t>
  </si>
  <si>
    <t>Vulnerability</t>
  </si>
  <si>
    <t>Wanted</t>
  </si>
  <si>
    <t>Weak</t>
  </si>
  <si>
    <t>Description</t>
  </si>
  <si>
    <t>Each Rating of Affluent increases the availability of Gear when purchased through Credits.</t>
  </si>
  <si>
    <t>Grants Magnify (1) to Coordination and Combat: Finnesse tasks</t>
  </si>
  <si>
    <t>27</t>
  </si>
  <si>
    <t>54</t>
  </si>
  <si>
    <t>varies</t>
  </si>
  <si>
    <t>Friend/Family whom can be trusted and called on for assistance</t>
  </si>
  <si>
    <t>Impair</t>
  </si>
  <si>
    <t>Empath</t>
  </si>
  <si>
    <t>Magnify (1) for Influence and Handling tasks</t>
  </si>
  <si>
    <t>Magnify (1) for Craft tasks</t>
  </si>
  <si>
    <t>See Ally</t>
  </si>
  <si>
    <t>27:1</t>
  </si>
  <si>
    <t>Boost for all tasks utilizing heavily the Sense(s) that are Acute.</t>
  </si>
  <si>
    <t>Boost for tasks with Gear in two hands.  Normally this Impairs (2).</t>
  </si>
  <si>
    <t>Grants a companion, which allows Bolster (1) or Hinder (1) of 1 task per round to Self, Ally, or Opponent.</t>
  </si>
  <si>
    <t>Friend/Family who the character can call on for information, or Gear.</t>
  </si>
  <si>
    <t>9:1</t>
  </si>
  <si>
    <t>Grants Magnify (1) to all Combat:Firearms, Combat:Missile, and Combat:Thrown tasks</t>
  </si>
  <si>
    <t>6:1</t>
  </si>
  <si>
    <t>Increase the Mind Aspect DR by 1 per Rating</t>
  </si>
  <si>
    <t>Increase Tenacity (Mind Primary Store) by 1 per Rating</t>
  </si>
  <si>
    <t>Increase Vitality (Body Tertiary Store) by 1 per Rating</t>
  </si>
  <si>
    <t>12:1</t>
  </si>
  <si>
    <t>Grants an Armor Rating equal to Rating for one Type of Attack</t>
  </si>
  <si>
    <t>Durable</t>
  </si>
  <si>
    <t>Increase Endurance (Body Primary Store) by 1 per Rating</t>
  </si>
  <si>
    <t>Grants Magnify (1) for all Knowledge tasks</t>
  </si>
  <si>
    <t>Grants Magnify (1) for all Cognition tasks</t>
  </si>
  <si>
    <t>Grants Magnify (1) for all Language tasks</t>
  </si>
  <si>
    <t>Increase Body Aspect DR by 1 per Rating</t>
  </si>
  <si>
    <t>Boost that can be used once per Scene.  The Rating increases the Boost rating, but can be spent individually or all on one task.</t>
  </si>
  <si>
    <t>Grants Magnify (1) to Athletics and Combat: Brutal tasks</t>
  </si>
  <si>
    <t>Each Rating of Privileged increases the Social Rating of the Character.</t>
  </si>
  <si>
    <t>Privileged</t>
  </si>
  <si>
    <t>The Character owns land, or a building, or even just an apartment.  The Rating relates to the Affluence required to purchase the property.</t>
  </si>
  <si>
    <t>15:1</t>
  </si>
  <si>
    <t>Each Rating is applied to all forms of Healing for all Aspects, Stores, and Facet.</t>
  </si>
  <si>
    <t>Reactive/Decisive</t>
  </si>
  <si>
    <t>Increase Resilience (Secondary Store) by 1 per Rating</t>
  </si>
  <si>
    <t>18:1</t>
  </si>
  <si>
    <t>Increase DR by 1 per Rating, but only for AO Defenses</t>
  </si>
  <si>
    <t>Increase all Initiative values by Rating, does not stack with Decisive. (see Decisive)</t>
  </si>
  <si>
    <t>Increase all Initiative values by Rating, does not stack with Decisive. (see Reactive)</t>
  </si>
  <si>
    <t>Magnify (1) for Influence tasks.  Does not stack with Empath</t>
  </si>
  <si>
    <t>Magnify (1) for Piloting and Combat: Close tasks</t>
  </si>
  <si>
    <t>Increase Sanity (Mind Tertiary Store) by 1 per Rating</t>
  </si>
  <si>
    <t>54:1</t>
  </si>
  <si>
    <t>When building the Dice pool for any Skill with a Rank of 3 or less, add 1 additional die.</t>
  </si>
  <si>
    <t>Magnify (1) for Performance tasks.</t>
  </si>
  <si>
    <t>Increase the Devotion Exchange Ratio.</t>
  </si>
  <si>
    <t>Without this substance, the character undergoes some adverse effects.  Value is based on time without, the difficulty of acquiring, and effects</t>
  </si>
  <si>
    <t>When in contact with this substance, adverse effects occur.  Similar to Addiction, but inverse.</t>
  </si>
  <si>
    <t>Apathetic</t>
  </si>
  <si>
    <t>-54</t>
  </si>
  <si>
    <t>Imposes Debilitate (1) for all Influence and Handling tasks</t>
  </si>
  <si>
    <t>Callous</t>
  </si>
  <si>
    <t>Decisive/Reactive</t>
  </si>
  <si>
    <t>-12:1</t>
  </si>
  <si>
    <t>Decreases the Devotion Exchange Ratio.</t>
  </si>
  <si>
    <t>Imposes Debilitate (1) for Coordination and Combat:Finesse tasks</t>
  </si>
  <si>
    <t>-27</t>
  </si>
  <si>
    <t>Imposes Debilitate (1) for all Influence tasks.</t>
  </si>
  <si>
    <t>-9:1</t>
  </si>
  <si>
    <t>Decrease the Mind Aspect DR by 1 per Rating.</t>
  </si>
  <si>
    <t>Impair any attempt to wake up, or wake the character for each Rating.</t>
  </si>
  <si>
    <t>-6:1</t>
  </si>
  <si>
    <t>The character holds as fact a dangerous belief, and this results in imposed Hinder per Rating per Session.</t>
  </si>
  <si>
    <t>The character is hated or discriminated against by a significant population.</t>
  </si>
  <si>
    <t>Decrease the availability of Gear when purchased through Credits by Rating.</t>
  </si>
  <si>
    <t>-3</t>
  </si>
  <si>
    <t>For each Distinguishing feature that the character has.</t>
  </si>
  <si>
    <t>Distracted/Reckless</t>
  </si>
  <si>
    <t>Imposes Debilitate (1) for all Piloting and Combat:Close tasks</t>
  </si>
  <si>
    <t>Reduce Resilience (Secondary Store) by 1 per Rating</t>
  </si>
  <si>
    <t>-27:1</t>
  </si>
  <si>
    <t>For each Rating, impose Impair on affected sense.</t>
  </si>
  <si>
    <t>Obtuse</t>
  </si>
  <si>
    <t>Impose Debilitate (1) for all Knowledge tasks</t>
  </si>
  <si>
    <t>Reduce the starting Social Rating by Rating</t>
  </si>
  <si>
    <t>Impose Debilitate (1) for all Language tasks</t>
  </si>
  <si>
    <t>The character has committed and is devoted to caring for someone or something</t>
  </si>
  <si>
    <t>Impose Debilitate (1) for all Infiltration tasks</t>
  </si>
  <si>
    <t>The character is obsessed with some topic, possession, or task.  The Value of the characteristic is how disruptive it is.</t>
  </si>
  <si>
    <t>Impose Debilitate (1) for all Performance tasks</t>
  </si>
  <si>
    <t>The Character is cripplingly afraid of something, the value of which is determined by how crippling, and how often.</t>
  </si>
  <si>
    <t>Impairement</t>
  </si>
  <si>
    <t>The character is missing one or more limbs, which impose Spoil on any task where that limb is required.</t>
  </si>
  <si>
    <t>Impose Debilitate on all ranged combat tasks, Combat:Firearms, Combat:Missile, Combat:Thrown.</t>
  </si>
  <si>
    <t>The character despises a subset of the population, leading to fights, lost opportunities, etc.</t>
  </si>
  <si>
    <t>Impose Debilitate (1) for all Survival tasks</t>
  </si>
  <si>
    <t>Reduce Endurance (Body Aspect Primary Store) by Rating</t>
  </si>
  <si>
    <t>Reduce Vitality (Body Aspect Tertiary Store) by Rating</t>
  </si>
  <si>
    <t>Impose Debilitate (1) on all Cognition tasks</t>
  </si>
  <si>
    <t>-15:1</t>
  </si>
  <si>
    <t>Each rating is removed from all forms of healing for all Aspects, Stores, and Facets.</t>
  </si>
  <si>
    <t>Decrease Initiative values by Rating.</t>
  </si>
  <si>
    <t>For each Rating, reduce Tenacity (Mind Primary Store)</t>
  </si>
  <si>
    <t>Whenever the character is in a potentially traumatic situation, impose the selected negative effects</t>
  </si>
  <si>
    <t>Each Rating is a separate feature and although no negative affect is necessary, it should create unfortunate Roleplay situations</t>
  </si>
  <si>
    <t>Reduce Sanity (Mind Tertiary Store) for each Rating</t>
  </si>
  <si>
    <t>Increase the damage sustained by any attack of the Type selected by Rating.</t>
  </si>
  <si>
    <t>There is an organization, or powerful person who wants custody of the character.  Value is based on the resources, damage, frequency, etc.</t>
  </si>
  <si>
    <t>Impose Debilitate (1) for all Athletics and Combat:Brutal tasks</t>
  </si>
  <si>
    <t>Untrained</t>
  </si>
  <si>
    <t>Broad</t>
  </si>
  <si>
    <t>Specific</t>
  </si>
  <si>
    <t>Computation</t>
  </si>
  <si>
    <t>Debate</t>
  </si>
  <si>
    <t>Deduction</t>
  </si>
  <si>
    <t>Meditation</t>
  </si>
  <si>
    <t>Recall</t>
  </si>
  <si>
    <t>Tailor</t>
  </si>
  <si>
    <t>Art</t>
  </si>
  <si>
    <t>Smith</t>
  </si>
  <si>
    <t>Animal Training</t>
  </si>
  <si>
    <t>Riding</t>
  </si>
  <si>
    <t>Concealment</t>
  </si>
  <si>
    <t>Disquise</t>
  </si>
  <si>
    <t>Observe</t>
  </si>
  <si>
    <t>Security</t>
  </si>
  <si>
    <t>Stealth</t>
  </si>
  <si>
    <t>Tracking</t>
  </si>
  <si>
    <t>Coercion</t>
  </si>
  <si>
    <t>Deception</t>
  </si>
  <si>
    <t>Haggling</t>
  </si>
  <si>
    <t>Leadership</t>
  </si>
  <si>
    <t>Persuasion</t>
  </si>
  <si>
    <t>Author</t>
  </si>
  <si>
    <t>Programmer</t>
  </si>
  <si>
    <t>Speaking</t>
  </si>
  <si>
    <t>Physics</t>
  </si>
  <si>
    <t>Electrics</t>
  </si>
  <si>
    <t>Chemistry</t>
  </si>
  <si>
    <t>Alchemy</t>
  </si>
  <si>
    <t>History</t>
  </si>
  <si>
    <t>Aether</t>
  </si>
  <si>
    <t>Society</t>
  </si>
  <si>
    <t>Psychology</t>
  </si>
  <si>
    <t>Occult</t>
  </si>
  <si>
    <t>Metaphysics</t>
  </si>
  <si>
    <t>Basic</t>
  </si>
  <si>
    <t>Acting</t>
  </si>
  <si>
    <t>Dance</t>
  </si>
  <si>
    <t>Instrument</t>
  </si>
  <si>
    <t>Voice</t>
  </si>
  <si>
    <t>Mag Vehicles</t>
  </si>
  <si>
    <t>Car</t>
  </si>
  <si>
    <t>Truck</t>
  </si>
  <si>
    <t>Panel</t>
  </si>
  <si>
    <t>Rig</t>
  </si>
  <si>
    <t>Sailing</t>
  </si>
  <si>
    <t>Forest</t>
  </si>
  <si>
    <t>Plains</t>
  </si>
  <si>
    <t>Desert</t>
  </si>
  <si>
    <t>Jungle</t>
  </si>
  <si>
    <t>Volcanic</t>
  </si>
  <si>
    <t>Tundra</t>
  </si>
  <si>
    <t>Frozen</t>
  </si>
  <si>
    <t>Ocean</t>
  </si>
  <si>
    <t>Terrainian</t>
  </si>
  <si>
    <t>Bodybuilding</t>
  </si>
  <si>
    <t>Climbing</t>
  </si>
  <si>
    <t>Jumping</t>
  </si>
  <si>
    <t>Running</t>
  </si>
  <si>
    <t>Swimming</t>
  </si>
  <si>
    <t>Throwing</t>
  </si>
  <si>
    <t>Acrobatics</t>
  </si>
  <si>
    <t>Catching</t>
  </si>
  <si>
    <t>Fine Motor Manipulation</t>
  </si>
  <si>
    <t>Pickpocketing</t>
  </si>
  <si>
    <t>Sleight of Hand</t>
  </si>
  <si>
    <t>Combat:Brutal</t>
  </si>
  <si>
    <t>Bashing</t>
  </si>
  <si>
    <t>Reach</t>
  </si>
  <si>
    <t>Slashing</t>
  </si>
  <si>
    <t>Combat:Finesse</t>
  </si>
  <si>
    <t>Eclectic</t>
  </si>
  <si>
    <t>Blades</t>
  </si>
  <si>
    <t>Staves</t>
  </si>
  <si>
    <t>Boxing</t>
  </si>
  <si>
    <t>Combat:Close</t>
  </si>
  <si>
    <t>Grappling</t>
  </si>
  <si>
    <t>Martial</t>
  </si>
  <si>
    <t>Fencing</t>
  </si>
  <si>
    <t>Understanding of Calculations, Equations, and Arithmatic</t>
  </si>
  <si>
    <t>The rules of debate, including Logic and Fallacies</t>
  </si>
  <si>
    <t>Obtaining the  General facts from specific clues</t>
  </si>
  <si>
    <t>Quieting the mind and body to provide benefits</t>
  </si>
  <si>
    <t>Having the understanding to bring a memory to the conscious</t>
  </si>
  <si>
    <t>Weapons with long hafts, such as spears, halberds, etc.</t>
  </si>
  <si>
    <t>Weapons with a blunt force and usually a haft, including clubs, hammers</t>
  </si>
  <si>
    <t xml:space="preserve">Weapons that lack leverage, daggers, shortsword, hatchets </t>
  </si>
  <si>
    <t>Utilizing quick footwork and fists</t>
  </si>
  <si>
    <t>Utilizing grabs, holds, where submission is more important than hurting</t>
  </si>
  <si>
    <t>Utilizing the entire body as a weapon</t>
  </si>
  <si>
    <t>Weapons that use momentum, chains, cables, whips</t>
  </si>
  <si>
    <t>Weapons designed to duel, defend, and perform quick, precise hits</t>
  </si>
  <si>
    <t>Weapons where the haft is the weapon, Staff, Bo, Rod, very quick weapons</t>
  </si>
  <si>
    <t>Utilizing tumbling, swinging, jumping, twirling movements</t>
  </si>
  <si>
    <t>Training in building the Body's aesthetic appeal, lifting, bending, crushing</t>
  </si>
  <si>
    <t>Anticipating and moving to intercept something in motion.</t>
  </si>
  <si>
    <t>Propelling oneself up a vertical plane with or without gear</t>
  </si>
  <si>
    <t>Propelling oneself over or across some barrier</t>
  </si>
  <si>
    <t>Training in sprinting or long distance running</t>
  </si>
  <si>
    <t>Training in moving through, or treading in liquid.</t>
  </si>
  <si>
    <t>Propelling some object in a controlled manner with some expectation of where it will land or stop.</t>
  </si>
  <si>
    <t>Utilizing Intricate, delicate movements to manipulate something</t>
  </si>
  <si>
    <t>Training in lifting, placing, replacing, objects from a target without their knowledge.</t>
  </si>
  <si>
    <t>Training in distraction, hiding, and revealing objects while being watched without knowledge of how.</t>
  </si>
  <si>
    <t>Creating Aesthetically pleasing sculptures, paintings, etc.</t>
  </si>
  <si>
    <t>Creating written manuscripts, poetry, speeches, and even scripts</t>
  </si>
  <si>
    <t>Creating instructions that can be followed by something without intelligence, but with pure logic</t>
  </si>
  <si>
    <t>Creating objects out of metal</t>
  </si>
  <si>
    <t>Creating objects out of fabric</t>
  </si>
  <si>
    <t>Husbandry</t>
  </si>
  <si>
    <t>Caring, breeding, and raising animals</t>
  </si>
  <si>
    <t>Teaching animals tricks, behaviors, and skills.</t>
  </si>
  <si>
    <t>Transporting oneself by the conveyance offered by animals</t>
  </si>
  <si>
    <t>Understanding of how to conceal things from observation, hiding them, and also using to find things</t>
  </si>
  <si>
    <t>Transforming someone to appear as someone else, either real or imagined.</t>
  </si>
  <si>
    <t>Watching, scouting, preventing someone from moving around you without your notice.</t>
  </si>
  <si>
    <t>Creating security systems, and also bypassing security.  This includes locks, and picking locks.</t>
  </si>
  <si>
    <t>Moving around without anyone noticing you.  Paying attention to surroundings, patience for guards</t>
  </si>
  <si>
    <t>Noticing the ways in which movement affects the environment and gaining insight about the tracks</t>
  </si>
  <si>
    <t>Forcing someone to do something against their will through torture, intimidation, even blackmail.</t>
  </si>
  <si>
    <t>Spinning convincing stories based on untruth.</t>
  </si>
  <si>
    <t>Finding the Win-Win scenario at the best value for both parties.</t>
  </si>
  <si>
    <t>Motivating and directing others in optimal fashion.</t>
  </si>
  <si>
    <t>Convincing someone to do what you want even though they may be resistant initially.</t>
  </si>
  <si>
    <t>Public speaking is intended to draw attention to something, possibly convincing a crowd.</t>
  </si>
  <si>
    <t>Understanding of the intricate workings of this oft-misunderstood fabric of reality.</t>
  </si>
  <si>
    <t>Ability to provide solutions by transmuting materials.</t>
  </si>
  <si>
    <t>Understanding the science of chemicals to formulate solutions.</t>
  </si>
  <si>
    <t>Understanding the science of electricity, magnetism, and how these forces work in the universe.</t>
  </si>
  <si>
    <t>Knowing the past through the filter of text.</t>
  </si>
  <si>
    <t>The field of inquiry of the immaterial after grounding in the material.</t>
  </si>
  <si>
    <t>Knowing about cults, rituals they use, and how to escape or trap others with the tricks of cults.</t>
  </si>
  <si>
    <t>Knowledge about the physical reactions of the world around you.</t>
  </si>
  <si>
    <t>Knowing the mind, emotions, and how to aid people in moving forward.</t>
  </si>
  <si>
    <t>Knowing the ways society interacts within their systems.</t>
  </si>
  <si>
    <t>Language of the majority</t>
  </si>
  <si>
    <t>Portraying a subject, leading others to see them in yourself.</t>
  </si>
  <si>
    <t>Movement of the body to entertain and enlighten.</t>
  </si>
  <si>
    <t>Strings, wind, tension, or percussion to create sound, perhaps even music.</t>
  </si>
  <si>
    <t>Singing, Oration, to entertain or convey meaning and emotion</t>
  </si>
  <si>
    <t>Vehicles which are simple to control, usually maneuverable in tight spaces.</t>
  </si>
  <si>
    <t>Vehicles using electronics to control the way the vehicle reacts to magnetic fields including gravity.</t>
  </si>
  <si>
    <t>Trucks with panel walls enclosing cargo, large and difficult to maneuver</t>
  </si>
  <si>
    <t>A cab built atop a large engine with wheels and a rig to attach vessels able to contain cargo</t>
  </si>
  <si>
    <t>A vehicle that only moves over water, usually using wind to facilitate movement, but not required.</t>
  </si>
  <si>
    <t>A vehicle with a small cab, and an open cargo area, deceptively difficult to maneuver and control.</t>
  </si>
  <si>
    <t>Surviving in a desert including dunes, or any area where the water is difficult to find.</t>
  </si>
  <si>
    <t>Surviving in a dense collection of trees</t>
  </si>
  <si>
    <t>Surviving in an inhospitable cold, snow filled area</t>
  </si>
  <si>
    <t>Surviving amongst the hazards of the jungle</t>
  </si>
  <si>
    <t>Surviving on an island, or boat, where the only water is unpotable.</t>
  </si>
  <si>
    <t>Surviving on a plain of rolling hills, few trees.</t>
  </si>
  <si>
    <t>Surviving in caves, or on Mountains</t>
  </si>
  <si>
    <t>Surviving in a cold bitter steppe climate</t>
  </si>
  <si>
    <t>Surviving in a climate filled with the chemicals and hot temperatures typical of volcanoes</t>
  </si>
  <si>
    <t>Techniques</t>
  </si>
  <si>
    <t>Weapons that chop and slice.  Usually with a curved blade, axe, greatsword</t>
  </si>
  <si>
    <t>Encounter</t>
  </si>
  <si>
    <t>a single combat encounter, or spirited exchange in a debate</t>
  </si>
  <si>
    <t>a complete discussion, the time before, during, and after a battle</t>
  </si>
  <si>
    <t>ActTN</t>
  </si>
  <si>
    <t>the revolution of the planet around a sun</t>
  </si>
  <si>
    <t>Ten revolutions</t>
  </si>
  <si>
    <t>Traits</t>
  </si>
  <si>
    <t>Adversary</t>
  </si>
  <si>
    <t>Frequency</t>
  </si>
  <si>
    <t>Condition</t>
  </si>
  <si>
    <t>Common</t>
  </si>
  <si>
    <t>Never</t>
  </si>
  <si>
    <t>All</t>
  </si>
  <si>
    <t>Unharmed</t>
  </si>
  <si>
    <t>Troublesome</t>
  </si>
  <si>
    <t>Once</t>
  </si>
  <si>
    <t>Most</t>
  </si>
  <si>
    <t>Roughed-Up</t>
  </si>
  <si>
    <t>Several</t>
  </si>
  <si>
    <t>Some</t>
  </si>
  <si>
    <t>Hurt</t>
  </si>
  <si>
    <t>Dangerous</t>
  </si>
  <si>
    <t>Few</t>
  </si>
  <si>
    <t>Injured</t>
  </si>
  <si>
    <t>None</t>
  </si>
  <si>
    <t>Barely Alive</t>
  </si>
  <si>
    <t>Session</t>
  </si>
  <si>
    <t>Dead</t>
  </si>
  <si>
    <t>A_Cost</t>
  </si>
  <si>
    <t>F_Cost</t>
  </si>
  <si>
    <t>L_Cost</t>
  </si>
  <si>
    <t>C_Cost</t>
  </si>
  <si>
    <t>Rare</t>
  </si>
  <si>
    <t>Often</t>
  </si>
  <si>
    <t>All + Exception</t>
  </si>
  <si>
    <t>Wanted, Bounty</t>
  </si>
  <si>
    <t>Dose Freq</t>
  </si>
  <si>
    <t>1 per Week</t>
  </si>
  <si>
    <t>3 per Week</t>
  </si>
  <si>
    <t>Daily</t>
  </si>
  <si>
    <t>Odd Scenes</t>
  </si>
  <si>
    <t>Every Scene</t>
  </si>
  <si>
    <t>Legal</t>
  </si>
  <si>
    <t>Rarity</t>
  </si>
  <si>
    <t>DL 1</t>
  </si>
  <si>
    <t>DL 3</t>
  </si>
  <si>
    <t>DL 9</t>
  </si>
  <si>
    <t>DL 5</t>
  </si>
  <si>
    <t>DL 7</t>
  </si>
  <si>
    <t>R_Cost</t>
  </si>
  <si>
    <t>Withdrawl</t>
  </si>
  <si>
    <t>Anxious</t>
  </si>
  <si>
    <t>W_Cost</t>
  </si>
  <si>
    <t>Symptom</t>
  </si>
  <si>
    <t>S_Cost</t>
  </si>
  <si>
    <t>Duration</t>
  </si>
  <si>
    <t>D_Cost</t>
  </si>
  <si>
    <t>DL 9+</t>
  </si>
  <si>
    <t>Rash/Iritant</t>
  </si>
  <si>
    <t>-3:1</t>
  </si>
  <si>
    <t>3:1</t>
  </si>
  <si>
    <t>Toxin DL</t>
  </si>
  <si>
    <t>Contact</t>
  </si>
  <si>
    <t>-1:1</t>
  </si>
  <si>
    <t>Duration (1-10)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</si>
</sst>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Fira Sans"/>
      <family val="2"/>
    </font>
    <font>
      <sz val="11"/>
      <color theme="0"/>
      <name val="Fira Sans"/>
      <family val="2"/>
    </font>
    <font>
      <sz val="9"/>
      <color theme="1"/>
      <name val="Fira Sans"/>
      <family val="2"/>
    </font>
    <font>
      <sz val="36"/>
      <color theme="9" tint="-0.499984740745262"/>
      <name val="Calibri"/>
      <family val="2"/>
    </font>
    <font>
      <sz val="36"/>
      <color theme="9" tint="-0.499984740745262"/>
      <name val="Fira Sans"/>
      <family val="2"/>
    </font>
    <font>
      <sz val="36"/>
      <color theme="9" tint="0.39997558519241921"/>
      <name val="Calibri"/>
      <family val="2"/>
    </font>
    <font>
      <sz val="36"/>
      <color theme="9" tint="0.39997558519241921"/>
      <name val="Fira Sans"/>
      <family val="2"/>
    </font>
    <font>
      <sz val="9"/>
      <color theme="0"/>
      <name val="Fira Sans"/>
      <family val="2"/>
    </font>
    <font>
      <sz val="10"/>
      <color theme="0"/>
      <name val="Fira Sans"/>
      <family val="2"/>
    </font>
    <font>
      <sz val="6"/>
      <color theme="0"/>
      <name val="Fira Sans"/>
      <family val="2"/>
    </font>
    <font>
      <sz val="11"/>
      <name val="Fira Sans"/>
      <family val="2"/>
    </font>
    <font>
      <sz val="7"/>
      <color theme="1"/>
      <name val="Fira Sans"/>
      <family val="2"/>
    </font>
    <font>
      <b/>
      <sz val="16"/>
      <name val="Fira Sans"/>
      <family val="2"/>
    </font>
    <font>
      <sz val="11"/>
      <color rgb="FFFF0000"/>
      <name val="Fira Sans"/>
      <family val="2"/>
    </font>
    <font>
      <sz val="11"/>
      <color rgb="FF00B050"/>
      <name val="Fira Sans"/>
      <family val="2"/>
    </font>
    <font>
      <sz val="11"/>
      <color rgb="FFFFC000"/>
      <name val="Fira Sans"/>
      <family val="2"/>
    </font>
    <font>
      <sz val="11"/>
      <color rgb="FFC00000"/>
      <name val="Fira Sans"/>
      <family val="2"/>
    </font>
    <font>
      <sz val="11"/>
      <color rgb="FF00B0F0"/>
      <name val="Fira Sans"/>
      <family val="2"/>
    </font>
    <font>
      <sz val="11"/>
      <color rgb="FF0070C0"/>
      <name val="Fira Sans"/>
      <family val="2"/>
    </font>
    <font>
      <b/>
      <i/>
      <sz val="10"/>
      <color theme="1"/>
      <name val="Arial"/>
    </font>
    <font>
      <sz val="10"/>
      <color theme="1"/>
      <name val="Arial"/>
    </font>
    <font>
      <b/>
      <i/>
      <sz val="10"/>
      <color theme="0"/>
      <name val="Arial"/>
    </font>
    <font>
      <u/>
      <sz val="11"/>
      <color theme="10"/>
      <name val="Fira Sans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</fills>
  <borders count="5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/>
      <top/>
      <bottom/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/>
      <right/>
      <top style="thin">
        <color theme="9" tint="-0.499984740745262"/>
      </top>
      <bottom/>
      <diagonal/>
    </border>
    <border>
      <left/>
      <right style="thin">
        <color theme="9" tint="-0.499984740745262"/>
      </right>
      <top style="thin">
        <color theme="9" tint="-0.499984740745262"/>
      </top>
      <bottom/>
      <diagonal/>
    </border>
    <border>
      <left/>
      <right style="thin">
        <color theme="9" tint="-0.499984740745262"/>
      </right>
      <top/>
      <bottom/>
      <diagonal/>
    </border>
    <border>
      <left style="thin">
        <color theme="9" tint="-0.499984740745262"/>
      </left>
      <right/>
      <top/>
      <bottom style="thin">
        <color theme="9" tint="-0.499984740745262"/>
      </bottom>
      <diagonal/>
    </border>
    <border>
      <left/>
      <right/>
      <top/>
      <bottom style="thin">
        <color theme="9" tint="-0.499984740745262"/>
      </bottom>
      <diagonal/>
    </border>
    <border>
      <left/>
      <right style="thin">
        <color theme="9" tint="-0.499984740745262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0"/>
      </right>
      <top style="thin">
        <color theme="9" tint="-0.499984740745262"/>
      </top>
      <bottom/>
      <diagonal/>
    </border>
    <border>
      <left style="thin">
        <color theme="0"/>
      </left>
      <right style="thin">
        <color theme="0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0"/>
      </right>
      <top/>
      <bottom style="thin">
        <color theme="9" tint="-0.499984740745262"/>
      </bottom>
      <diagonal/>
    </border>
    <border>
      <left style="thin">
        <color theme="0"/>
      </left>
      <right style="thin">
        <color theme="0"/>
      </right>
      <top/>
      <bottom style="thin">
        <color theme="9" tint="-0.499984740745262"/>
      </bottom>
      <diagonal/>
    </border>
    <border>
      <left/>
      <right/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9" tint="0.59999389629810485"/>
      </bottom>
      <diagonal/>
    </border>
    <border>
      <left style="thin">
        <color theme="0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5" tint="-0.499984740745262"/>
      </left>
      <right/>
      <top style="thin">
        <color theme="5" tint="-0.499984740745262"/>
      </top>
      <bottom/>
      <diagonal/>
    </border>
    <border>
      <left/>
      <right/>
      <top style="thin">
        <color theme="5" tint="-0.499984740745262"/>
      </top>
      <bottom/>
      <diagonal/>
    </border>
    <border>
      <left/>
      <right style="thin">
        <color theme="5" tint="-0.499984740745262"/>
      </right>
      <top style="thin">
        <color theme="5" tint="-0.499984740745262"/>
      </top>
      <bottom/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/>
      <right/>
      <top/>
      <bottom style="thin">
        <color theme="5" tint="-0.499984740745262"/>
      </bottom>
      <diagonal/>
    </border>
    <border>
      <left/>
      <right style="thin">
        <color theme="5" tint="-0.499984740745262"/>
      </right>
      <top/>
      <bottom style="thin">
        <color theme="5" tint="-0.499984740745262"/>
      </bottom>
      <diagonal/>
    </border>
    <border>
      <left/>
      <right style="thin">
        <color theme="0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0"/>
      </right>
      <top/>
      <bottom/>
      <diagonal/>
    </border>
    <border>
      <left style="thin">
        <color theme="4"/>
      </left>
      <right style="thin">
        <color theme="0"/>
      </right>
      <top/>
      <bottom style="thin">
        <color theme="4"/>
      </bottom>
      <diagonal/>
    </border>
    <border>
      <left style="thin">
        <color theme="0"/>
      </left>
      <right style="thin">
        <color theme="0"/>
      </right>
      <top/>
      <bottom style="thin">
        <color theme="4"/>
      </bottom>
      <diagonal/>
    </border>
    <border>
      <left style="thin">
        <color theme="0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/>
      <right style="thin">
        <color indexed="64"/>
      </right>
      <top/>
      <bottom style="thin">
        <color theme="5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9" tint="0.59999389629810485"/>
      </right>
      <top/>
      <bottom/>
      <diagonal/>
    </border>
    <border>
      <left style="thin">
        <color theme="4"/>
      </left>
      <right style="thin">
        <color theme="0"/>
      </right>
      <top/>
      <bottom/>
      <diagonal/>
    </border>
    <border>
      <left style="thin">
        <color theme="0"/>
      </left>
      <right style="thin">
        <color theme="4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280">
    <xf numFmtId="0" fontId="0" fillId="0" borderId="0" xfId="0"/>
    <xf numFmtId="0" fontId="0" fillId="0" borderId="0" xfId="0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12" borderId="0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4" borderId="0" xfId="0" applyFill="1" applyBorder="1" applyAlignment="1">
      <alignment horizontal="center" vertical="center"/>
    </xf>
    <xf numFmtId="0" fontId="0" fillId="0" borderId="0" xfId="0" quotePrefix="1"/>
    <xf numFmtId="10" fontId="0" fillId="0" borderId="0" xfId="0" applyNumberFormat="1"/>
    <xf numFmtId="2" fontId="0" fillId="0" borderId="0" xfId="0" applyNumberFormat="1"/>
    <xf numFmtId="2" fontId="13" fillId="0" borderId="0" xfId="0" applyNumberFormat="1" applyFont="1"/>
    <xf numFmtId="2" fontId="14" fillId="0" borderId="0" xfId="0" applyNumberFormat="1" applyFont="1"/>
    <xf numFmtId="2" fontId="15" fillId="0" borderId="0" xfId="0" applyNumberFormat="1" applyFont="1"/>
    <xf numFmtId="2" fontId="16" fillId="0" borderId="0" xfId="0" applyNumberFormat="1" applyFont="1"/>
    <xf numFmtId="2" fontId="17" fillId="0" borderId="0" xfId="0" applyNumberFormat="1" applyFont="1"/>
    <xf numFmtId="2" fontId="18" fillId="0" borderId="0" xfId="0" applyNumberFormat="1" applyFont="1"/>
    <xf numFmtId="0" fontId="0" fillId="10" borderId="0" xfId="0" applyFill="1"/>
    <xf numFmtId="0" fontId="0" fillId="15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/>
    <xf numFmtId="2" fontId="0" fillId="0" borderId="0" xfId="0" applyNumberFormat="1" applyFill="1"/>
    <xf numFmtId="2" fontId="13" fillId="0" borderId="0" xfId="0" applyNumberFormat="1" applyFont="1" applyFill="1"/>
    <xf numFmtId="2" fontId="14" fillId="0" borderId="0" xfId="0" applyNumberFormat="1" applyFont="1" applyFill="1"/>
    <xf numFmtId="2" fontId="15" fillId="0" borderId="0" xfId="0" applyNumberFormat="1" applyFont="1" applyFill="1"/>
    <xf numFmtId="2" fontId="16" fillId="0" borderId="0" xfId="0" applyNumberFormat="1" applyFont="1" applyFill="1"/>
    <xf numFmtId="2" fontId="17" fillId="0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2" fontId="13" fillId="16" borderId="0" xfId="0" applyNumberFormat="1" applyFont="1" applyFill="1"/>
    <xf numFmtId="2" fontId="14" fillId="16" borderId="0" xfId="0" applyNumberFormat="1" applyFont="1" applyFill="1"/>
    <xf numFmtId="2" fontId="15" fillId="16" borderId="0" xfId="0" applyNumberFormat="1" applyFont="1" applyFill="1"/>
    <xf numFmtId="2" fontId="16" fillId="16" borderId="0" xfId="0" applyNumberFormat="1" applyFont="1" applyFill="1"/>
    <xf numFmtId="2" fontId="17" fillId="16" borderId="0" xfId="0" applyNumberFormat="1" applyFont="1" applyFill="1"/>
    <xf numFmtId="2" fontId="18" fillId="16" borderId="0" xfId="0" applyNumberFormat="1" applyFont="1" applyFill="1"/>
    <xf numFmtId="0" fontId="0" fillId="0" borderId="0" xfId="0" applyFill="1" applyBorder="1" applyAlignment="1">
      <alignment horizontal="center"/>
    </xf>
    <xf numFmtId="0" fontId="0" fillId="13" borderId="46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13" borderId="47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Protection="1">
      <protection locked="0"/>
    </xf>
    <xf numFmtId="0" fontId="0" fillId="0" borderId="0" xfId="0" applyFont="1" applyFill="1" applyAlignment="1" applyProtection="1">
      <alignment vertical="center"/>
    </xf>
    <xf numFmtId="0" fontId="0" fillId="0" borderId="0" xfId="0" applyFont="1" applyFill="1" applyAlignment="1" applyProtection="1"/>
    <xf numFmtId="0" fontId="0" fillId="0" borderId="0" xfId="0" applyFont="1" applyProtection="1"/>
    <xf numFmtId="0" fontId="0" fillId="0" borderId="0" xfId="0" applyFont="1" applyFill="1" applyProtection="1"/>
    <xf numFmtId="0" fontId="0" fillId="0" borderId="0" xfId="0" applyFont="1" applyBorder="1" applyAlignment="1" applyProtection="1"/>
    <xf numFmtId="0" fontId="1" fillId="0" borderId="0" xfId="0" applyFont="1" applyFill="1" applyAlignment="1" applyProtection="1"/>
    <xf numFmtId="0" fontId="2" fillId="0" borderId="0" xfId="0" applyFont="1" applyAlignment="1" applyProtection="1">
      <alignment vertical="center" wrapText="1"/>
    </xf>
    <xf numFmtId="0" fontId="11" fillId="0" borderId="0" xfId="0" applyFont="1" applyBorder="1" applyAlignment="1" applyProtection="1">
      <alignment vertical="center" textRotation="180"/>
    </xf>
    <xf numFmtId="0" fontId="0" fillId="0" borderId="0" xfId="0" applyFont="1" applyBorder="1" applyAlignment="1" applyProtection="1">
      <alignment vertical="center"/>
    </xf>
    <xf numFmtId="0" fontId="10" fillId="0" borderId="0" xfId="0" applyFont="1" applyAlignment="1" applyProtection="1">
      <alignment vertical="center"/>
    </xf>
    <xf numFmtId="0" fontId="0" fillId="10" borderId="48" xfId="0" applyFill="1" applyBorder="1" applyAlignment="1">
      <alignment horizontal="center"/>
    </xf>
    <xf numFmtId="0" fontId="0" fillId="10" borderId="44" xfId="0" applyFill="1" applyBorder="1" applyAlignment="1">
      <alignment horizontal="center"/>
    </xf>
    <xf numFmtId="0" fontId="0" fillId="10" borderId="46" xfId="0" applyFill="1" applyBorder="1" applyAlignment="1">
      <alignment horizontal="center"/>
    </xf>
    <xf numFmtId="0" fontId="0" fillId="6" borderId="48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6" borderId="46" xfId="0" applyFill="1" applyBorder="1" applyAlignment="1">
      <alignment horizontal="center"/>
    </xf>
    <xf numFmtId="0" fontId="0" fillId="13" borderId="4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 applyProtection="1"/>
    <xf numFmtId="0" fontId="0" fillId="0" borderId="0" xfId="0" applyAlignment="1">
      <alignment horizontal="center" vertical="center"/>
    </xf>
    <xf numFmtId="20" fontId="0" fillId="13" borderId="2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Protection="1">
      <protection locked="0"/>
    </xf>
    <xf numFmtId="0" fontId="0" fillId="0" borderId="0" xfId="0" applyProtection="1"/>
    <xf numFmtId="0" fontId="0" fillId="0" borderId="0" xfId="0" applyAlignment="1">
      <alignment horizontal="center"/>
    </xf>
    <xf numFmtId="0" fontId="0" fillId="0" borderId="5" xfId="0" applyFont="1" applyBorder="1" applyAlignment="1" applyProtection="1">
      <alignment horizontal="left"/>
      <protection locked="0"/>
    </xf>
    <xf numFmtId="0" fontId="0" fillId="0" borderId="6" xfId="0" applyFont="1" applyBorder="1" applyAlignment="1" applyProtection="1">
      <alignment horizontal="left"/>
      <protection locked="0"/>
    </xf>
    <xf numFmtId="0" fontId="0" fillId="0" borderId="7" xfId="0" applyFont="1" applyBorder="1" applyAlignment="1" applyProtection="1">
      <alignment horizontal="left"/>
      <protection locked="0"/>
    </xf>
    <xf numFmtId="0" fontId="0" fillId="0" borderId="9" xfId="0" applyFont="1" applyBorder="1" applyAlignment="1" applyProtection="1">
      <alignment horizontal="left"/>
      <protection locked="0"/>
    </xf>
    <xf numFmtId="0" fontId="0" fillId="0" borderId="10" xfId="0" applyFont="1" applyBorder="1" applyAlignment="1" applyProtection="1">
      <alignment horizontal="left"/>
      <protection locked="0"/>
    </xf>
    <xf numFmtId="0" fontId="0" fillId="0" borderId="11" xfId="0" applyFont="1" applyBorder="1" applyAlignment="1" applyProtection="1">
      <alignment horizontal="left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0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left"/>
      <protection locked="0"/>
    </xf>
    <xf numFmtId="0" fontId="0" fillId="0" borderId="29" xfId="0" applyFont="1" applyBorder="1" applyAlignment="1" applyProtection="1">
      <alignment horizontal="left"/>
      <protection locked="0"/>
    </xf>
    <xf numFmtId="0" fontId="0" fillId="0" borderId="40" xfId="0" applyFont="1" applyBorder="1" applyAlignment="1" applyProtection="1">
      <alignment horizontal="left"/>
      <protection locked="0"/>
    </xf>
    <xf numFmtId="0" fontId="0" fillId="0" borderId="31" xfId="0" applyFont="1" applyBorder="1" applyAlignment="1" applyProtection="1">
      <alignment horizontal="left"/>
      <protection locked="0"/>
    </xf>
    <xf numFmtId="0" fontId="0" fillId="0" borderId="32" xfId="0" applyFont="1" applyBorder="1" applyAlignment="1" applyProtection="1">
      <alignment horizontal="left"/>
      <protection locked="0"/>
    </xf>
    <xf numFmtId="0" fontId="0" fillId="0" borderId="41" xfId="0" applyFont="1" applyBorder="1" applyAlignment="1" applyProtection="1">
      <alignment horizontal="left"/>
      <protection locked="0"/>
    </xf>
    <xf numFmtId="0" fontId="1" fillId="0" borderId="5" xfId="0" applyFont="1" applyFill="1" applyBorder="1" applyAlignment="1" applyProtection="1">
      <alignment horizontal="left"/>
      <protection locked="0"/>
    </xf>
    <xf numFmtId="0" fontId="1" fillId="0" borderId="6" xfId="0" applyFont="1" applyFill="1" applyBorder="1" applyAlignment="1" applyProtection="1">
      <alignment horizontal="left"/>
      <protection locked="0"/>
    </xf>
    <xf numFmtId="0" fontId="1" fillId="0" borderId="7" xfId="0" applyFont="1" applyFill="1" applyBorder="1" applyAlignment="1" applyProtection="1">
      <alignment horizontal="left"/>
      <protection locked="0"/>
    </xf>
    <xf numFmtId="0" fontId="1" fillId="0" borderId="9" xfId="0" applyFont="1" applyFill="1" applyBorder="1" applyAlignment="1" applyProtection="1">
      <alignment horizontal="left"/>
      <protection locked="0"/>
    </xf>
    <xf numFmtId="0" fontId="1" fillId="0" borderId="10" xfId="0" applyFont="1" applyFill="1" applyBorder="1" applyAlignment="1" applyProtection="1">
      <alignment horizontal="left"/>
      <protection locked="0"/>
    </xf>
    <xf numFmtId="0" fontId="1" fillId="0" borderId="11" xfId="0" applyFont="1" applyFill="1" applyBorder="1" applyAlignment="1" applyProtection="1">
      <alignment horizontal="left"/>
      <protection locked="0"/>
    </xf>
    <xf numFmtId="0" fontId="0" fillId="0" borderId="28" xfId="0" applyFont="1" applyBorder="1" applyAlignment="1" applyProtection="1">
      <alignment horizontal="right"/>
      <protection locked="0"/>
    </xf>
    <xf numFmtId="0" fontId="0" fillId="0" borderId="29" xfId="0" applyFont="1" applyBorder="1" applyAlignment="1" applyProtection="1">
      <alignment horizontal="right"/>
      <protection locked="0"/>
    </xf>
    <xf numFmtId="0" fontId="0" fillId="0" borderId="30" xfId="0" applyFont="1" applyBorder="1" applyAlignment="1" applyProtection="1">
      <alignment horizontal="right"/>
      <protection locked="0"/>
    </xf>
    <xf numFmtId="0" fontId="0" fillId="0" borderId="31" xfId="0" applyFont="1" applyBorder="1" applyAlignment="1" applyProtection="1">
      <alignment horizontal="right"/>
      <protection locked="0"/>
    </xf>
    <xf numFmtId="0" fontId="0" fillId="0" borderId="32" xfId="0" applyFont="1" applyBorder="1" applyAlignment="1" applyProtection="1">
      <alignment horizontal="right"/>
      <protection locked="0"/>
    </xf>
    <xf numFmtId="0" fontId="0" fillId="0" borderId="33" xfId="0" applyFont="1" applyBorder="1" applyAlignment="1" applyProtection="1">
      <alignment horizontal="right"/>
      <protection locked="0"/>
    </xf>
    <xf numFmtId="0" fontId="10" fillId="0" borderId="0" xfId="0" applyFont="1" applyFill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10" fillId="0" borderId="8" xfId="0" applyFont="1" applyFill="1" applyBorder="1" applyAlignment="1" applyProtection="1">
      <alignment horizontal="center"/>
    </xf>
    <xf numFmtId="0" fontId="1" fillId="0" borderId="5" xfId="0" applyFont="1" applyFill="1" applyBorder="1" applyAlignment="1" applyProtection="1">
      <alignment horizontal="center"/>
      <protection locked="0"/>
    </xf>
    <xf numFmtId="0" fontId="1" fillId="0" borderId="6" xfId="0" applyFont="1" applyFill="1" applyBorder="1" applyAlignment="1" applyProtection="1">
      <alignment horizontal="center"/>
      <protection locked="0"/>
    </xf>
    <xf numFmtId="0" fontId="1" fillId="0" borderId="7" xfId="0" applyFont="1" applyFill="1" applyBorder="1" applyAlignment="1" applyProtection="1">
      <alignment horizontal="center"/>
      <protection locked="0"/>
    </xf>
    <xf numFmtId="0" fontId="1" fillId="0" borderId="9" xfId="0" applyFont="1" applyFill="1" applyBorder="1" applyAlignment="1" applyProtection="1">
      <alignment horizontal="center"/>
      <protection locked="0"/>
    </xf>
    <xf numFmtId="0" fontId="1" fillId="0" borderId="10" xfId="0" applyFont="1" applyFill="1" applyBorder="1" applyAlignment="1" applyProtection="1">
      <alignment horizontal="center"/>
      <protection locked="0"/>
    </xf>
    <xf numFmtId="0" fontId="1" fillId="0" borderId="11" xfId="0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</xf>
    <xf numFmtId="0" fontId="7" fillId="8" borderId="0" xfId="0" applyFont="1" applyFill="1" applyAlignment="1" applyProtection="1">
      <alignment horizontal="center"/>
      <protection locked="0"/>
    </xf>
    <xf numFmtId="0" fontId="7" fillId="8" borderId="32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horizontal="center"/>
      <protection locked="0"/>
    </xf>
    <xf numFmtId="0" fontId="1" fillId="8" borderId="0" xfId="0" applyFont="1" applyFill="1" applyBorder="1" applyAlignment="1" applyProtection="1">
      <alignment horizontal="center"/>
      <protection locked="0"/>
    </xf>
    <xf numFmtId="0" fontId="1" fillId="8" borderId="32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11" fillId="0" borderId="6" xfId="0" applyFont="1" applyBorder="1" applyAlignment="1" applyProtection="1">
      <alignment horizontal="center" vertical="center" textRotation="180"/>
    </xf>
    <xf numFmtId="0" fontId="11" fillId="0" borderId="0" xfId="0" applyFont="1" applyAlignment="1" applyProtection="1">
      <alignment horizontal="center" vertical="center" textRotation="180"/>
    </xf>
    <xf numFmtId="0" fontId="0" fillId="0" borderId="5" xfId="0" applyFont="1" applyBorder="1" applyAlignment="1" applyProtection="1">
      <alignment horizontal="center" vertical="center"/>
    </xf>
    <xf numFmtId="0" fontId="0" fillId="0" borderId="6" xfId="0" applyFont="1" applyBorder="1" applyAlignment="1" applyProtection="1">
      <alignment horizontal="center" vertical="center"/>
    </xf>
    <xf numFmtId="0" fontId="0" fillId="0" borderId="7" xfId="0" applyFont="1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/>
    </xf>
    <xf numFmtId="0" fontId="0" fillId="0" borderId="8" xfId="0" applyFont="1" applyBorder="1" applyAlignment="1" applyProtection="1">
      <alignment horizontal="center" vertical="center"/>
    </xf>
    <xf numFmtId="0" fontId="0" fillId="0" borderId="9" xfId="0" applyFont="1" applyBorder="1" applyAlignment="1" applyProtection="1">
      <alignment horizontal="center" vertical="center"/>
    </xf>
    <xf numFmtId="0" fontId="0" fillId="0" borderId="10" xfId="0" applyFont="1" applyBorder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 textRotation="180" wrapText="1"/>
    </xf>
    <xf numFmtId="0" fontId="11" fillId="0" borderId="0" xfId="0" applyFont="1" applyBorder="1" applyAlignment="1" applyProtection="1">
      <alignment horizontal="center" vertical="center" textRotation="180" wrapText="1"/>
    </xf>
    <xf numFmtId="0" fontId="0" fillId="0" borderId="5" xfId="0" applyFont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0" fontId="0" fillId="0" borderId="7" xfId="0" applyFont="1" applyBorder="1" applyAlignment="1" applyProtection="1">
      <alignment horizontal="center" vertical="center"/>
      <protection locked="0"/>
    </xf>
    <xf numFmtId="0" fontId="0" fillId="0" borderId="3" xfId="0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center" vertical="center"/>
      <protection locked="0"/>
    </xf>
    <xf numFmtId="0" fontId="0" fillId="0" borderId="10" xfId="0" applyFont="1" applyBorder="1" applyAlignment="1" applyProtection="1">
      <alignment horizontal="center" vertical="center"/>
      <protection locked="0"/>
    </xf>
    <xf numFmtId="0" fontId="0" fillId="0" borderId="11" xfId="0" applyFont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1" fillId="7" borderId="10" xfId="0" applyFont="1" applyFill="1" applyBorder="1" applyAlignment="1" applyProtection="1">
      <alignment horizontal="center" vertical="center"/>
    </xf>
    <xf numFmtId="0" fontId="8" fillId="5" borderId="0" xfId="0" applyFont="1" applyFill="1" applyAlignment="1" applyProtection="1">
      <alignment horizontal="center"/>
    </xf>
    <xf numFmtId="0" fontId="8" fillId="5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8" fillId="4" borderId="5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3" xfId="0" applyFont="1" applyFill="1" applyBorder="1" applyAlignment="1" applyProtection="1">
      <alignment horizontal="center" vertical="center"/>
    </xf>
    <xf numFmtId="0" fontId="8" fillId="4" borderId="0" xfId="0" applyFont="1" applyFill="1" applyBorder="1" applyAlignment="1" applyProtection="1">
      <alignment horizontal="center" vertical="center"/>
    </xf>
    <xf numFmtId="0" fontId="8" fillId="4" borderId="8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10" xfId="0" applyFont="1" applyFill="1" applyBorder="1" applyAlignment="1" applyProtection="1">
      <alignment horizontal="center" vertical="center"/>
    </xf>
    <xf numFmtId="0" fontId="8" fillId="4" borderId="11" xfId="0" applyFont="1" applyFill="1" applyBorder="1" applyAlignment="1" applyProtection="1">
      <alignment horizontal="center" vertical="center"/>
    </xf>
    <xf numFmtId="0" fontId="7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 applyProtection="1">
      <alignment horizontal="center" vertical="center"/>
    </xf>
    <xf numFmtId="0" fontId="7" fillId="4" borderId="7" xfId="0" applyFont="1" applyFill="1" applyBorder="1" applyAlignment="1" applyProtection="1">
      <alignment horizontal="center" vertical="center"/>
    </xf>
    <xf numFmtId="0" fontId="7" fillId="4" borderId="3" xfId="0" applyFont="1" applyFill="1" applyBorder="1" applyAlignment="1" applyProtection="1">
      <alignment horizontal="center" vertical="center"/>
    </xf>
    <xf numFmtId="0" fontId="7" fillId="4" borderId="0" xfId="0" applyFont="1" applyFill="1" applyBorder="1" applyAlignment="1" applyProtection="1">
      <alignment horizontal="center" vertical="center"/>
    </xf>
    <xf numFmtId="0" fontId="7" fillId="4" borderId="8" xfId="0" applyFont="1" applyFill="1" applyBorder="1" applyAlignment="1" applyProtection="1">
      <alignment horizontal="center" vertical="center"/>
    </xf>
    <xf numFmtId="0" fontId="7" fillId="4" borderId="9" xfId="0" applyFont="1" applyFill="1" applyBorder="1" applyAlignment="1" applyProtection="1">
      <alignment horizontal="center" vertical="center"/>
    </xf>
    <xf numFmtId="0" fontId="7" fillId="4" borderId="10" xfId="0" applyFont="1" applyFill="1" applyBorder="1" applyAlignment="1" applyProtection="1">
      <alignment horizontal="center" vertical="center"/>
    </xf>
    <xf numFmtId="0" fontId="7" fillId="4" borderId="11" xfId="0" applyFont="1" applyFill="1" applyBorder="1" applyAlignment="1" applyProtection="1">
      <alignment horizontal="center" vertical="center"/>
    </xf>
    <xf numFmtId="0" fontId="10" fillId="0" borderId="39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horizontal="left" vertical="center"/>
    </xf>
    <xf numFmtId="0" fontId="1" fillId="7" borderId="10" xfId="0" applyFont="1" applyFill="1" applyBorder="1" applyAlignment="1" applyProtection="1">
      <alignment horizontal="left" vertical="center"/>
    </xf>
    <xf numFmtId="0" fontId="1" fillId="6" borderId="0" xfId="0" applyFont="1" applyFill="1" applyBorder="1" applyAlignment="1" applyProtection="1">
      <alignment horizontal="center"/>
    </xf>
    <xf numFmtId="0" fontId="9" fillId="6" borderId="24" xfId="0" applyFont="1" applyFill="1" applyBorder="1" applyAlignment="1" applyProtection="1">
      <alignment horizontal="center" vertical="center" textRotation="180"/>
    </xf>
    <xf numFmtId="0" fontId="9" fillId="6" borderId="0" xfId="0" applyFont="1" applyFill="1" applyBorder="1" applyAlignment="1" applyProtection="1">
      <alignment horizontal="center" vertical="center" textRotation="180"/>
    </xf>
    <xf numFmtId="0" fontId="10" fillId="0" borderId="39" xfId="0" applyFont="1" applyBorder="1" applyAlignment="1" applyProtection="1">
      <alignment horizontal="center"/>
    </xf>
    <xf numFmtId="0" fontId="10" fillId="0" borderId="13" xfId="0" applyFont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0" fillId="0" borderId="15" xfId="0" applyFont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0" fontId="10" fillId="0" borderId="0" xfId="0" applyFont="1" applyBorder="1" applyAlignment="1" applyProtection="1">
      <alignment horizontal="center"/>
      <protection locked="0"/>
    </xf>
    <xf numFmtId="0" fontId="10" fillId="0" borderId="16" xfId="0" applyFont="1" applyBorder="1" applyAlignment="1" applyProtection="1">
      <alignment horizontal="center"/>
      <protection locked="0"/>
    </xf>
    <xf numFmtId="0" fontId="10" fillId="0" borderId="17" xfId="0" applyFont="1" applyBorder="1" applyAlignment="1" applyProtection="1">
      <alignment horizontal="center"/>
      <protection locked="0"/>
    </xf>
    <xf numFmtId="0" fontId="10" fillId="0" borderId="18" xfId="0" applyFont="1" applyBorder="1" applyAlignment="1" applyProtection="1">
      <alignment horizontal="center"/>
      <protection locked="0"/>
    </xf>
    <xf numFmtId="0" fontId="10" fillId="0" borderId="19" xfId="0" applyFont="1" applyBorder="1" applyAlignment="1" applyProtection="1">
      <alignment horizontal="center"/>
      <protection locked="0"/>
    </xf>
    <xf numFmtId="0" fontId="0" fillId="9" borderId="0" xfId="0" applyFont="1" applyFill="1" applyAlignment="1" applyProtection="1">
      <alignment horizontal="right"/>
    </xf>
    <xf numFmtId="0" fontId="0" fillId="9" borderId="0" xfId="0" applyFont="1" applyFill="1" applyAlignment="1" applyProtection="1">
      <alignment horizontal="left"/>
    </xf>
    <xf numFmtId="0" fontId="7" fillId="8" borderId="35" xfId="0" applyFont="1" applyFill="1" applyBorder="1" applyAlignment="1" applyProtection="1">
      <alignment horizontal="center" vertical="top"/>
    </xf>
    <xf numFmtId="0" fontId="7" fillId="8" borderId="4" xfId="0" applyFont="1" applyFill="1" applyBorder="1" applyAlignment="1" applyProtection="1">
      <alignment horizontal="center" vertical="top"/>
    </xf>
    <xf numFmtId="0" fontId="7" fillId="8" borderId="22" xfId="0" applyFont="1" applyFill="1" applyBorder="1" applyAlignment="1" applyProtection="1">
      <alignment horizontal="center" vertical="top"/>
    </xf>
    <xf numFmtId="0" fontId="7" fillId="8" borderId="23" xfId="0" applyFont="1" applyFill="1" applyBorder="1" applyAlignment="1" applyProtection="1">
      <alignment horizontal="center" vertical="top"/>
    </xf>
    <xf numFmtId="0" fontId="1" fillId="8" borderId="0" xfId="0" applyFont="1" applyFill="1" applyAlignment="1" applyProtection="1">
      <alignment horizontal="center"/>
    </xf>
    <xf numFmtId="0" fontId="1" fillId="8" borderId="0" xfId="0" applyFont="1" applyFill="1" applyBorder="1" applyAlignment="1" applyProtection="1">
      <alignment horizontal="center"/>
    </xf>
    <xf numFmtId="0" fontId="9" fillId="8" borderId="0" xfId="0" applyFont="1" applyFill="1" applyAlignment="1" applyProtection="1">
      <alignment horizontal="center" vertical="center" textRotation="180"/>
    </xf>
    <xf numFmtId="0" fontId="9" fillId="8" borderId="0" xfId="0" applyFont="1" applyFill="1" applyBorder="1" applyAlignment="1" applyProtection="1">
      <alignment horizontal="center" vertical="center" textRotation="180"/>
    </xf>
    <xf numFmtId="0" fontId="3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7" fillId="6" borderId="4" xfId="0" applyFont="1" applyFill="1" applyBorder="1" applyAlignment="1" applyProtection="1">
      <alignment horizontal="center" vertical="top"/>
    </xf>
    <xf numFmtId="0" fontId="7" fillId="6" borderId="26" xfId="0" applyFont="1" applyFill="1" applyBorder="1" applyAlignment="1" applyProtection="1">
      <alignment horizontal="center" vertical="top"/>
    </xf>
    <xf numFmtId="0" fontId="7" fillId="5" borderId="35" xfId="0" applyFont="1" applyFill="1" applyBorder="1" applyAlignment="1" applyProtection="1">
      <alignment horizontal="center" vertical="top"/>
    </xf>
    <xf numFmtId="0" fontId="7" fillId="5" borderId="4" xfId="0" applyFont="1" applyFill="1" applyBorder="1" applyAlignment="1" applyProtection="1">
      <alignment horizontal="center" vertical="top"/>
    </xf>
    <xf numFmtId="0" fontId="7" fillId="5" borderId="22" xfId="0" applyFont="1" applyFill="1" applyBorder="1" applyAlignment="1" applyProtection="1">
      <alignment horizontal="center" vertical="top"/>
    </xf>
    <xf numFmtId="0" fontId="7" fillId="5" borderId="23" xfId="0" applyFont="1" applyFill="1" applyBorder="1" applyAlignment="1" applyProtection="1">
      <alignment horizontal="center" vertical="top"/>
    </xf>
    <xf numFmtId="0" fontId="10" fillId="0" borderId="39" xfId="0" applyFont="1" applyFill="1" applyBorder="1" applyAlignment="1" applyProtection="1">
      <alignment horizontal="center"/>
      <protection locked="0"/>
    </xf>
    <xf numFmtId="0" fontId="1" fillId="5" borderId="0" xfId="0" applyFont="1" applyFill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9" fillId="5" borderId="0" xfId="0" applyFont="1" applyFill="1" applyAlignment="1" applyProtection="1">
      <alignment horizontal="center" vertical="center" textRotation="180"/>
    </xf>
    <xf numFmtId="0" fontId="9" fillId="5" borderId="0" xfId="0" applyFont="1" applyFill="1" applyBorder="1" applyAlignment="1" applyProtection="1">
      <alignment horizontal="center" vertical="center" textRotation="180"/>
    </xf>
    <xf numFmtId="0" fontId="1" fillId="6" borderId="24" xfId="0" applyFont="1" applyFill="1" applyBorder="1" applyAlignment="1" applyProtection="1">
      <alignment horizontal="center"/>
    </xf>
    <xf numFmtId="0" fontId="1" fillId="8" borderId="0" xfId="0" applyFont="1" applyFill="1" applyAlignment="1" applyProtection="1">
      <alignment horizontal="center" vertical="center"/>
    </xf>
    <xf numFmtId="0" fontId="1" fillId="8" borderId="0" xfId="0" applyFont="1" applyFill="1" applyBorder="1" applyAlignment="1" applyProtection="1">
      <alignment horizontal="center" vertical="center"/>
    </xf>
    <xf numFmtId="0" fontId="7" fillId="8" borderId="12" xfId="0" applyFont="1" applyFill="1" applyBorder="1" applyAlignment="1" applyProtection="1">
      <alignment horizontal="center" vertical="top"/>
    </xf>
    <xf numFmtId="0" fontId="7" fillId="8" borderId="0" xfId="0" applyFont="1" applyFill="1" applyBorder="1" applyAlignment="1" applyProtection="1">
      <alignment horizontal="center" vertical="top"/>
    </xf>
    <xf numFmtId="0" fontId="7" fillId="8" borderId="54" xfId="0" applyFont="1" applyFill="1" applyBorder="1" applyAlignment="1" applyProtection="1">
      <alignment horizontal="center" vertical="top"/>
    </xf>
    <xf numFmtId="0" fontId="7" fillId="8" borderId="17" xfId="0" applyFont="1" applyFill="1" applyBorder="1" applyAlignment="1" applyProtection="1">
      <alignment horizontal="center" vertical="top"/>
    </xf>
    <xf numFmtId="0" fontId="7" fillId="8" borderId="18" xfId="0" applyFont="1" applyFill="1" applyBorder="1" applyAlignment="1" applyProtection="1">
      <alignment horizontal="center" vertical="top"/>
    </xf>
    <xf numFmtId="0" fontId="7" fillId="8" borderId="34" xfId="0" applyFont="1" applyFill="1" applyBorder="1" applyAlignment="1" applyProtection="1">
      <alignment horizontal="center" vertical="top"/>
    </xf>
    <xf numFmtId="0" fontId="1" fillId="2" borderId="0" xfId="0" applyFont="1" applyFill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9" fillId="2" borderId="0" xfId="0" applyFont="1" applyFill="1" applyAlignment="1" applyProtection="1">
      <alignment horizontal="center" vertical="center" textRotation="180"/>
    </xf>
    <xf numFmtId="0" fontId="9" fillId="2" borderId="0" xfId="0" applyFont="1" applyFill="1" applyBorder="1" applyAlignment="1" applyProtection="1">
      <alignment horizontal="center" vertical="center" textRotation="180"/>
    </xf>
    <xf numFmtId="0" fontId="7" fillId="6" borderId="51" xfId="0" applyFont="1" applyFill="1" applyBorder="1" applyAlignment="1" applyProtection="1">
      <alignment horizontal="center" vertical="top"/>
    </xf>
    <xf numFmtId="0" fontId="7" fillId="6" borderId="27" xfId="0" applyFont="1" applyFill="1" applyBorder="1" applyAlignment="1" applyProtection="1">
      <alignment horizontal="center" vertical="top"/>
    </xf>
    <xf numFmtId="0" fontId="5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7" fillId="2" borderId="52" xfId="0" applyFont="1" applyFill="1" applyBorder="1" applyAlignment="1" applyProtection="1">
      <alignment horizontal="center" vertical="top"/>
    </xf>
    <xf numFmtId="0" fontId="7" fillId="2" borderId="4" xfId="0" applyFont="1" applyFill="1" applyBorder="1" applyAlignment="1" applyProtection="1">
      <alignment horizontal="center" vertical="top"/>
    </xf>
    <xf numFmtId="0" fontId="7" fillId="2" borderId="53" xfId="0" applyFont="1" applyFill="1" applyBorder="1" applyAlignment="1" applyProtection="1">
      <alignment horizontal="center" vertical="top"/>
    </xf>
    <xf numFmtId="0" fontId="7" fillId="2" borderId="36" xfId="0" applyFont="1" applyFill="1" applyBorder="1" applyAlignment="1" applyProtection="1">
      <alignment horizontal="center" vertical="top"/>
    </xf>
    <xf numFmtId="0" fontId="7" fillId="2" borderId="37" xfId="0" applyFont="1" applyFill="1" applyBorder="1" applyAlignment="1" applyProtection="1">
      <alignment horizontal="center" vertical="top"/>
    </xf>
    <xf numFmtId="0" fontId="7" fillId="2" borderId="38" xfId="0" applyFont="1" applyFill="1" applyBorder="1" applyAlignment="1" applyProtection="1">
      <alignment horizontal="center" vertical="top"/>
    </xf>
    <xf numFmtId="0" fontId="3" fillId="0" borderId="0" xfId="0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12" fillId="0" borderId="39" xfId="0" applyFont="1" applyFill="1" applyBorder="1" applyAlignment="1" applyProtection="1">
      <alignment horizontal="center" vertical="center" wrapText="1"/>
      <protection locked="0"/>
    </xf>
    <xf numFmtId="0" fontId="1" fillId="6" borderId="25" xfId="0" applyFont="1" applyFill="1" applyBorder="1" applyAlignment="1" applyProtection="1">
      <alignment horizontal="center"/>
    </xf>
    <xf numFmtId="0" fontId="1" fillId="5" borderId="18" xfId="0" applyFont="1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 wrapText="1"/>
    </xf>
    <xf numFmtId="0" fontId="7" fillId="5" borderId="20" xfId="0" applyFont="1" applyFill="1" applyBorder="1" applyAlignment="1" applyProtection="1">
      <alignment horizontal="center" vertical="top"/>
    </xf>
    <xf numFmtId="0" fontId="7" fillId="5" borderId="21" xfId="0" applyFont="1" applyFill="1" applyBorder="1" applyAlignment="1" applyProtection="1">
      <alignment horizontal="center" vertical="top"/>
    </xf>
    <xf numFmtId="0" fontId="7" fillId="5" borderId="21" xfId="0" applyFont="1" applyFill="1" applyBorder="1" applyAlignment="1" applyProtection="1">
      <alignment horizontal="center" vertical="top"/>
      <protection locked="0"/>
    </xf>
    <xf numFmtId="0" fontId="7" fillId="5" borderId="23" xfId="0" applyFont="1" applyFill="1" applyBorder="1" applyAlignment="1" applyProtection="1">
      <alignment horizontal="center" vertical="top"/>
      <protection locked="0"/>
    </xf>
    <xf numFmtId="0" fontId="9" fillId="5" borderId="18" xfId="0" applyFont="1" applyFill="1" applyBorder="1" applyAlignment="1" applyProtection="1">
      <alignment horizontal="center" vertical="center" textRotation="180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9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32" xfId="0" applyBorder="1" applyAlignment="1">
      <alignment horizontal="right"/>
    </xf>
    <xf numFmtId="0" fontId="0" fillId="0" borderId="33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8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2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6" borderId="49" xfId="0" applyFill="1" applyBorder="1" applyAlignment="1">
      <alignment horizontal="center"/>
    </xf>
    <xf numFmtId="0" fontId="0" fillId="6" borderId="5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45" xfId="0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43" xfId="0" applyFill="1" applyBorder="1" applyAlignment="1">
      <alignment horizontal="center"/>
    </xf>
    <xf numFmtId="0" fontId="0" fillId="10" borderId="49" xfId="0" applyFill="1" applyBorder="1" applyAlignment="1">
      <alignment horizontal="center"/>
    </xf>
    <xf numFmtId="0" fontId="0" fillId="10" borderId="50" xfId="0" applyFill="1" applyBorder="1" applyAlignment="1">
      <alignment horizontal="center"/>
    </xf>
    <xf numFmtId="0" fontId="0" fillId="11" borderId="45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19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49" fontId="22" fillId="0" borderId="0" xfId="1" applyNumberFormat="1"/>
    <xf numFmtId="0" fontId="21" fillId="17" borderId="55" xfId="0" applyFont="1" applyFill="1" applyBorder="1" applyAlignment="1">
      <alignment horizontal="center"/>
    </xf>
    <xf numFmtId="0" fontId="21" fillId="17" borderId="56" xfId="0" applyFont="1" applyFill="1" applyBorder="1" applyAlignment="1">
      <alignment horizontal="center"/>
    </xf>
    <xf numFmtId="0" fontId="0" fillId="0" borderId="0" xfId="0" quotePrefix="1" applyAlignment="1">
      <alignment horizontal="center"/>
    </xf>
  </cellXfs>
  <cellStyles count="2">
    <cellStyle name="Hyperlink" xfId="1" builtinId="8"/>
    <cellStyle name="Normal" xfId="0" builtinId="0"/>
  </cellStyles>
  <dxfs count="4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protection locked="0" hidden="0"/>
    </dxf>
    <dxf>
      <protection locked="1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udzu%20Ringtail%20and%20Timmy%20-%20Th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te"/>
      <sheetName val="Doc"/>
      <sheetName val="Skill Calcs"/>
      <sheetName val="Skill Data"/>
      <sheetName val="Tier Calcs"/>
      <sheetName val="Parameters"/>
      <sheetName val="Rules"/>
    </sheetNames>
    <sheetDataSet>
      <sheetData sheetId="0"/>
      <sheetData sheetId="1">
        <row r="7">
          <cell r="AH7">
            <v>6</v>
          </cell>
        </row>
        <row r="17">
          <cell r="AH17">
            <v>6</v>
          </cell>
          <cell r="AP17">
            <v>8</v>
          </cell>
        </row>
        <row r="27">
          <cell r="AH27">
            <v>6</v>
          </cell>
          <cell r="AP27">
            <v>8</v>
          </cell>
        </row>
        <row r="37">
          <cell r="AH37">
            <v>6</v>
          </cell>
          <cell r="AP37">
            <v>7</v>
          </cell>
        </row>
        <row r="47">
          <cell r="AH47">
            <v>3</v>
          </cell>
        </row>
        <row r="57">
          <cell r="AH57">
            <v>4</v>
          </cell>
        </row>
        <row r="67">
          <cell r="AH67">
            <v>3</v>
          </cell>
        </row>
        <row r="77">
          <cell r="AH77">
            <v>3</v>
          </cell>
          <cell r="AP77">
            <v>8</v>
          </cell>
        </row>
        <row r="87">
          <cell r="AH87">
            <v>3</v>
          </cell>
        </row>
      </sheetData>
      <sheetData sheetId="2">
        <row r="2">
          <cell r="Q2">
            <v>2</v>
          </cell>
        </row>
        <row r="3">
          <cell r="Q3">
            <v>3</v>
          </cell>
        </row>
        <row r="4">
          <cell r="Q4">
            <v>3</v>
          </cell>
        </row>
        <row r="5">
          <cell r="Q5">
            <v>4</v>
          </cell>
        </row>
        <row r="6">
          <cell r="Q6">
            <v>1</v>
          </cell>
        </row>
        <row r="7">
          <cell r="Q7">
            <v>2</v>
          </cell>
        </row>
        <row r="8">
          <cell r="Q8">
            <v>1</v>
          </cell>
        </row>
        <row r="9">
          <cell r="Q9">
            <v>2</v>
          </cell>
        </row>
        <row r="10">
          <cell r="Q10">
            <v>1</v>
          </cell>
        </row>
        <row r="11">
          <cell r="S11">
            <v>136</v>
          </cell>
        </row>
      </sheetData>
      <sheetData sheetId="3"/>
      <sheetData sheetId="4"/>
      <sheetData sheetId="5"/>
      <sheetData sheetId="6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View1" id="{C139D814-5AA2-4147-A1E8-E2549B48BE84}">
    <nsvFilter filterId="{C177FBFD-3C20-4940-B9D8-8B4F594E0F7A}" ref="A1:D77" tableId="1">
      <sortRules>
        <sortRule colId="0" id="{EC94A04B-6F50-421A-92F9-1B1040D04CF9}">
          <sortCondition ref="A1:A77"/>
        </sortRule>
      </sortRules>
    </nsvFilter>
    <nsvFilter filterId="{43A2525D-800A-40B0-9F31-8BEFC9F05353}" ref="F1:I14" tableId="3"/>
    <nsvFilter filterId="{45F1D7EC-A253-47B2-82FE-FEDFE20C6BFB}" ref="K1:W2" tableId="8"/>
    <nsvFilter filterId="{15D8D19B-C669-4F6B-8D78-B22F18E2406E}" ref="I16:J31" tableId="7"/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B07ED1-9188-4B1C-A184-53A57B3DF1F4}" name="Proficiency" displayName="Proficiency" ref="A1:I2" totalsRowShown="0">
  <autoFilter ref="A1:I2" xr:uid="{26B07ED1-9188-4B1C-A184-53A57B3DF1F4}"/>
  <tableColumns count="9">
    <tableColumn id="1" xr3:uid="{91EF23AB-F9BB-4F4B-B488-7D9A824A3BD5}" name="Specific" dataDxfId="41"/>
    <tableColumn id="2" xr3:uid="{4A02D5D6-7201-4CA3-B63E-50104C9EE5C6}" name="Broad" dataDxfId="40"/>
    <tableColumn id="8" xr3:uid="{1072671F-8E93-4359-85C2-FA6720AF6373}" name="Aspect">
      <calculatedColumnFormula>_xlfn.IFNA(INDEX(Broad_Aspect[Aspect],MATCH(Proficiency[[#This Row],[Broad]],Broad_Aspect[Broad],0)),"")</calculatedColumnFormula>
    </tableColumn>
    <tableColumn id="3" xr3:uid="{AA925A7F-5761-452C-B378-15ECD532D681}" name="Rank"/>
    <tableColumn id="4" xr3:uid="{CDD8959F-59B5-4021-B42B-BDDCC9A40783}" name="Techniques"/>
    <tableColumn id="5" xr3:uid="{2285D70D-802E-475D-BEBA-CF0613029C47}" name="Traits"/>
    <tableColumn id="6" xr3:uid="{2844410A-C176-436A-A209-8817BBB4789A}" name="Tier" dataDxfId="39">
      <calculatedColumnFormula>INDEX('Tier Constraints'!A33:N46,MATCH(Proficiency[[#This Row],[Rank]],'Tier Constraints'!A33:A46,0),MATCH(Proficiency[[#This Row],[ActTN]],'Tier Constraints'!A33:N33,0))</calculatedColumnFormula>
    </tableColumn>
    <tableColumn id="9" xr3:uid="{68F526CA-5B30-497E-98D2-8274E98EC290}" name="Target" dataDxfId="38"/>
    <tableColumn id="7" xr3:uid="{B000A219-DEB2-4230-BD98-5FE0CF9FD2CB}" name="ActTN">
      <calculatedColumnFormula>IF(Proficiency[[#This Row],[Target]]&lt;=1,9,Proficiency[[#This Row],[Target]])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01DFF4-8411-4F3E-8E5E-7BB1FE118727}" name="Table6" displayName="Table6" ref="A1:C75" totalsRowShown="0">
  <autoFilter ref="A1:C75" xr:uid="{6E01DFF4-8411-4F3E-8E5E-7BB1FE118727}">
    <filterColumn colId="0" hiddenButton="1"/>
    <filterColumn colId="1" hiddenButton="1"/>
    <filterColumn colId="2" hiddenButton="1"/>
  </autoFilter>
  <sortState xmlns:xlrd2="http://schemas.microsoft.com/office/spreadsheetml/2017/richdata2" ref="A2:C75">
    <sortCondition ref="A1:A75"/>
  </sortState>
  <tableColumns count="3">
    <tableColumn id="1" xr3:uid="{481ED29B-50C1-4BC1-BB82-F28F73366125}" name="Characteristic"/>
    <tableColumn id="2" xr3:uid="{23FEEC5A-0C91-4AD6-ADD4-E10341780E24}" name="Cost" dataDxfId="37"/>
    <tableColumn id="3" xr3:uid="{702DD646-9EA3-445D-8BF7-9C805EE33FD8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77FBFD-3C20-4940-B9D8-8B4F594E0F7A}" name="Table1" displayName="Table1" ref="A1:D77" totalsRowShown="0">
  <autoFilter ref="A1:D77" xr:uid="{C177FBFD-3C20-4940-B9D8-8B4F594E0F7A}"/>
  <sortState xmlns:xlrd2="http://schemas.microsoft.com/office/spreadsheetml/2017/richdata2" ref="A2:D77">
    <sortCondition ref="A1:A77"/>
  </sortState>
  <tableColumns count="4">
    <tableColumn id="1" xr3:uid="{EC94A04B-6F50-421A-92F9-1B1040D04CF9}" name="Specific"/>
    <tableColumn id="2" xr3:uid="{A70FB7F0-685B-4893-A379-B72E0B54E996}" name="Broad"/>
    <tableColumn id="3" xr3:uid="{F8BEEDA2-8AF1-4717-B1D0-004254266373}" name="Aspect"/>
    <tableColumn id="4" xr3:uid="{12D215FE-3B52-49CF-AC07-2C23DEA94E3E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A2525D-800A-40B0-9F31-8BEFC9F05353}" name="Table3" displayName="Table3" ref="F1:I14" totalsRowShown="0" dataDxfId="36">
  <autoFilter ref="F1:I14" xr:uid="{43A2525D-800A-40B0-9F31-8BEFC9F05353}"/>
  <tableColumns count="4">
    <tableColumn id="1" xr3:uid="{D4BCA7CB-402A-46A3-9741-794776A275B3}" name="Rank" dataDxfId="35"/>
    <tableColumn id="2" xr3:uid="{C4E0E352-3C6D-4658-972E-6A1DACD32EB6}" name="Cost" dataDxfId="34"/>
    <tableColumn id="3" xr3:uid="{B9912B71-E638-4770-AAF8-4683CAE03F90}" name="Total" dataDxfId="33">
      <calculatedColumnFormula>G2+H1</calculatedColumnFormula>
    </tableColumn>
    <tableColumn id="4" xr3:uid="{E928DEBF-EC69-46E6-B299-FBB08E662280}" name="Title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F1D7EC-A253-47B2-82FE-FEDFE20C6BFB}" name="Table8" displayName="Table8" ref="K1:W2" totalsRowShown="0" headerRowDxfId="31" dataDxfId="30">
  <autoFilter ref="K1:W2" xr:uid="{45F1D7EC-A253-47B2-82FE-FEDFE20C6BFB}"/>
  <tableColumns count="13">
    <tableColumn id="1" xr3:uid="{9A524FE8-96BE-415E-A6AF-F917044DC67E}" name="NGL" dataDxfId="29"/>
    <tableColumn id="2" xr3:uid="{C9806803-DC5D-43B2-BD9F-4F9F53DEEF6B}" name="ESY" dataDxfId="28"/>
    <tableColumn id="3" xr3:uid="{258B9E24-A23D-4511-9E6A-9F7D612DA7F3}" name="AVG" dataDxfId="27"/>
    <tableColumn id="4" xr3:uid="{C8647618-69A5-4057-8D0C-042A38DF1D0D}" name="TAX" dataDxfId="26"/>
    <tableColumn id="5" xr3:uid="{464D9C8E-8A14-458B-B6B5-C40D9481B607}" name="DEM" dataDxfId="25"/>
    <tableColumn id="6" xr3:uid="{DE2C3B09-78FB-4F50-A1DD-EBC5BB65871D}" name="BAF" dataDxfId="24"/>
    <tableColumn id="7" xr3:uid="{EE8ADC49-EC5A-4960-A482-232C806E8094}" name="DAU" dataDxfId="23"/>
    <tableColumn id="8" xr3:uid="{ED62BE34-242E-48F6-8970-663EADA6AB06}" name="FOR" dataDxfId="22"/>
    <tableColumn id="9" xr3:uid="{33F907AB-963D-4690-AE83-46D7E458221D}" name="ARD" dataDxfId="21"/>
    <tableColumn id="10" xr3:uid="{52266641-FC9C-4B1B-BA61-0E942A88F633}" name="SEV" dataDxfId="20"/>
    <tableColumn id="11" xr3:uid="{068A8C99-8029-4D62-BF4E-DB19162C5634}" name="EXT" dataDxfId="19"/>
    <tableColumn id="13" xr3:uid="{CD991A72-5015-4F18-A5FD-6534586733ED}" name="ABS" dataDxfId="18"/>
    <tableColumn id="12" xr3:uid="{F28AED98-23A0-48F9-B80B-EC9F68A6FA6C}" name="IMP" dataDxfId="17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5D8D19B-C669-4F6B-8D78-B22F18E2406E}" name="Broad_Aspect" displayName="Broad_Aspect" ref="I16:J31" totalsRowShown="0">
  <autoFilter ref="I16:J31" xr:uid="{15D8D19B-C669-4F6B-8D78-B22F18E2406E}">
    <filterColumn colId="0" hiddenButton="1"/>
    <filterColumn colId="1" hiddenButton="1"/>
  </autoFilter>
  <tableColumns count="2">
    <tableColumn id="1" xr3:uid="{AE121415-686D-438D-B94B-C8CB2D455653}" name="Broad"/>
    <tableColumn id="2" xr3:uid="{2E6DDA7C-51C4-460E-B4CB-1AF1489D22BD}" name="Aspec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9C8721-8CB8-4749-BBF6-CC726846994F}" name="Table4" displayName="Table4" ref="A2:H8" totalsRowShown="0" headerRowDxfId="15" dataDxfId="16">
  <autoFilter ref="A2:H8" xr:uid="{B89C8721-8CB8-4749-BBF6-CC726846994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6E4F0BF-DAE4-424D-AD65-8EE5A5791D82}" name="Adversary" dataDxfId="14"/>
    <tableColumn id="2" xr3:uid="{320A3E34-E460-4227-917B-D681171318F3}" name="A_Cost" dataDxfId="13"/>
    <tableColumn id="3" xr3:uid="{4E939354-F671-43B0-9EE1-2F8CAEC1EB1C}" name="Frequency" dataDxfId="12"/>
    <tableColumn id="4" xr3:uid="{657005EC-4727-4F6B-9829-45ED394D2463}" name="F_Cost" dataDxfId="11"/>
    <tableColumn id="5" xr3:uid="{E4C52383-C817-4411-9558-967C569F8A5B}" name="Legal" dataDxfId="10"/>
    <tableColumn id="6" xr3:uid="{6AA6CD9A-39B9-40E1-994D-8DF85BDB25DA}" name="L_Cost" dataDxfId="9"/>
    <tableColumn id="7" xr3:uid="{E36370CF-820D-4132-85C9-40D138C989D9}" name="Condition" dataDxfId="8"/>
    <tableColumn id="8" xr3:uid="{E47A1EEB-4B3F-4B4A-91C4-D054826BED1E}" name="C_Cost" dataDxfId="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ADD29E-918F-492D-9CFC-A7013F41ABB9}" name="Table9" displayName="Table9" ref="A11:F16" totalsRowShown="0" tableBorderDxfId="6">
  <autoFilter ref="A11:F16" xr:uid="{61ADD29E-918F-492D-9CFC-A7013F41AB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A5F9135-271B-4D51-99D0-DF2B074345C1}" name="Dose Freq"/>
    <tableColumn id="2" xr3:uid="{58F3A742-71EE-4492-B7DD-EB3776E0475B}" name="F_Cost" dataDxfId="5"/>
    <tableColumn id="3" xr3:uid="{E3204FF7-3D21-48B7-9990-4BB0DA4D95E6}" name="Rarity" dataDxfId="4"/>
    <tableColumn id="4" xr3:uid="{791A7241-FA76-49EC-855D-BCC53AC54EDE}" name="R_Cost" dataDxfId="3"/>
    <tableColumn id="5" xr3:uid="{DA720034-7F4B-429B-B751-CDD88D0A1ACA}" name="Withdrawl"/>
    <tableColumn id="6" xr3:uid="{5D847B81-C6AD-4521-8FA0-208279EE3F11}" name="W_Cost" dataDxf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47CA02C-5311-4DFF-BEFE-56A0C86DAA9F}" name="Table10" displayName="Table10" ref="A19:F24" totalsRowShown="0">
  <autoFilter ref="A19:F24" xr:uid="{B47CA02C-5311-4DFF-BEFE-56A0C86DAA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0CC9341-2420-42EC-AA0A-E9933FF0D4CA}" name="Rarity"/>
    <tableColumn id="2" xr3:uid="{C7F4028D-FE1B-4494-AF3B-6D752E36BD56}" name="R_Cost" dataDxfId="1"/>
    <tableColumn id="3" xr3:uid="{DD9E6835-82B3-4BB9-A91D-AD375CAC6AAE}" name="Symptom"/>
    <tableColumn id="4" xr3:uid="{ACA3C8C9-C876-4205-9A9B-F2F49B31FC78}" name="S_Cost" dataDxfId="0"/>
    <tableColumn id="5" xr3:uid="{BF1CBBEB-F4D7-45F4-A748-234F1F0939A3}" name="Duration"/>
    <tableColumn id="6" xr3:uid="{01348D19-9738-49A7-9C5D-DCDA42FF129D}" name="D_Cost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1BB9B9-777E-4B9A-B5D7-39EB59B84B5A}" name="Table16" displayName="Table16" ref="A1:C73" totalsRowShown="0">
  <autoFilter ref="A1:C73" xr:uid="{EFC85E85-346C-4380-92B0-3E2F57B320B7}"/>
  <sortState xmlns:xlrd2="http://schemas.microsoft.com/office/spreadsheetml/2017/richdata2" ref="A2:C72">
    <sortCondition ref="A1:A73"/>
  </sortState>
  <tableColumns count="3">
    <tableColumn id="2" xr3:uid="{59E80BBF-618B-44C6-B31B-BFB3D9130ADD}" name="Term"/>
    <tableColumn id="3" xr3:uid="{7F0A44D5-472A-488E-B10B-12BFB015B7CB}" name="Location"/>
    <tableColumn id="4" xr3:uid="{B1763697-BBE0-4960-8923-07073822DDAC}" name="Definition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Parallax">
  <a:themeElements>
    <a:clrScheme name="Red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Tw Cen MT-Rockwell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Parallax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04000"/>
              </a:schemeClr>
            </a:gs>
            <a:gs pos="100000">
              <a:schemeClr val="phClr">
                <a:tint val="84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2000"/>
              </a:schemeClr>
            </a:gs>
            <a:gs pos="100000">
              <a:schemeClr val="phClr">
                <a:shade val="88000"/>
                <a:lumMod val="94000"/>
              </a:schemeClr>
            </a:gs>
          </a:gsLst>
          <a:path path="circle">
            <a:fillToRect l="50000" t="100000" r="100000" b="50000"/>
          </a:path>
        </a:gradFill>
      </a:fillStyleLst>
      <a:lnStyleLst>
        <a:ln w="9525" cap="rnd" cmpd="sng" algn="ctr">
          <a:solidFill>
            <a:schemeClr val="phClr">
              <a:tint val="6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reflection blurRad="12700" stA="26000" endPos="32000" dist="12700" dir="5400000" sy="-100000" rotWithShape="0"/>
          </a:effectLst>
        </a:effectStyle>
        <a:effectStyle>
          <a:effectLst>
            <a:outerShdw blurRad="38100" dist="25400" dir="5400000" rotWithShape="0">
              <a:srgbClr val="000000">
                <a:alpha val="6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25400" h="127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98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shade val="76000"/>
                <a:satMod val="180000"/>
              </a:schemeClr>
              <a:schemeClr val="phClr">
                <a:tint val="80000"/>
                <a:satMod val="120000"/>
                <a:lumMod val="18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Parallax" id="{3388167B-A2EB-4685-9635-1831D9AEF8C4}" vid="{4F7A876A-7598-49CA-AFC8-8EDA2551E4A7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Relationship Id="rId6" Type="http://schemas.microsoft.com/office/2019/04/relationships/namedSheetView" Target="../namedSheetViews/namedSheetView1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F3AB8-749A-4DCF-9E99-F8E6DF36D034}">
  <sheetPr codeName="Sheet1"/>
  <dimension ref="A1:FY102"/>
  <sheetViews>
    <sheetView showZeros="0" zoomScaleNormal="100" workbookViewId="0">
      <selection activeCell="A5" sqref="A5:AA6"/>
    </sheetView>
  </sheetViews>
  <sheetFormatPr defaultColWidth="1" defaultRowHeight="6" customHeight="1" x14ac:dyDescent="0.35"/>
  <cols>
    <col min="1" max="211" width="1" style="46" customWidth="1"/>
    <col min="212" max="16384" width="1" style="46"/>
  </cols>
  <sheetData>
    <row r="1" spans="1:123" s="47" customFormat="1" ht="6" customHeight="1" x14ac:dyDescent="0.35">
      <c r="A1" s="160" t="s">
        <v>0</v>
      </c>
      <c r="B1" s="161"/>
      <c r="C1" s="161"/>
      <c r="D1" s="161"/>
      <c r="E1" s="161"/>
      <c r="F1" s="162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60" t="s">
        <v>1</v>
      </c>
      <c r="BK1" s="161"/>
      <c r="BL1" s="161"/>
      <c r="BM1" s="161"/>
      <c r="BN1" s="161"/>
      <c r="BO1" s="161"/>
      <c r="BP1" s="161"/>
      <c r="BQ1" s="162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145"/>
      <c r="CC1" s="145"/>
      <c r="CD1" s="145"/>
      <c r="CE1" s="145"/>
      <c r="CF1" s="145"/>
      <c r="CG1" s="145"/>
      <c r="CH1" s="145"/>
      <c r="CI1" s="145"/>
      <c r="CJ1" s="145"/>
      <c r="CK1" s="145"/>
      <c r="CL1" s="145"/>
      <c r="CM1" s="145"/>
      <c r="CN1" s="145"/>
      <c r="CO1" s="145"/>
      <c r="CP1" s="145"/>
      <c r="CQ1" s="145"/>
      <c r="CR1" s="145"/>
      <c r="CS1" s="145"/>
      <c r="CT1" s="145"/>
      <c r="CU1" s="145"/>
      <c r="CV1" s="145"/>
      <c r="CW1" s="145"/>
      <c r="CX1" s="145"/>
      <c r="CY1" s="145"/>
      <c r="CZ1" s="145"/>
      <c r="DA1" s="145"/>
      <c r="DB1" s="145"/>
      <c r="DC1" s="145"/>
      <c r="DD1" s="145"/>
      <c r="DE1" s="145"/>
      <c r="DF1" s="145"/>
      <c r="DG1" s="145"/>
      <c r="DH1" s="145"/>
      <c r="DI1" s="151" t="s">
        <v>2</v>
      </c>
      <c r="DJ1" s="152"/>
      <c r="DK1" s="152"/>
      <c r="DL1" s="152"/>
      <c r="DM1" s="152"/>
      <c r="DN1" s="152"/>
      <c r="DO1" s="152"/>
      <c r="DP1" s="152"/>
      <c r="DQ1" s="152"/>
      <c r="DR1" s="152"/>
      <c r="DS1" s="153"/>
    </row>
    <row r="2" spans="1:123" ht="6" customHeight="1" x14ac:dyDescent="0.35">
      <c r="A2" s="163"/>
      <c r="B2" s="164"/>
      <c r="C2" s="164"/>
      <c r="D2" s="164"/>
      <c r="E2" s="164"/>
      <c r="F2" s="165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63"/>
      <c r="BK2" s="164"/>
      <c r="BL2" s="164"/>
      <c r="BM2" s="164"/>
      <c r="BN2" s="164"/>
      <c r="BO2" s="164"/>
      <c r="BP2" s="164"/>
      <c r="BQ2" s="165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54"/>
      <c r="DJ2" s="155"/>
      <c r="DK2" s="155"/>
      <c r="DL2" s="155"/>
      <c r="DM2" s="155"/>
      <c r="DN2" s="155"/>
      <c r="DO2" s="155"/>
      <c r="DP2" s="155"/>
      <c r="DQ2" s="155"/>
      <c r="DR2" s="155"/>
      <c r="DS2" s="156"/>
    </row>
    <row r="3" spans="1:123" ht="6" customHeight="1" thickBot="1" x14ac:dyDescent="0.4">
      <c r="A3" s="166"/>
      <c r="B3" s="167"/>
      <c r="C3" s="167"/>
      <c r="D3" s="167"/>
      <c r="E3" s="167"/>
      <c r="F3" s="168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  <c r="AH3" s="150"/>
      <c r="AI3" s="150"/>
      <c r="AJ3" s="150"/>
      <c r="AK3" s="150"/>
      <c r="AL3" s="150"/>
      <c r="AM3" s="150"/>
      <c r="AN3" s="150"/>
      <c r="AO3" s="150"/>
      <c r="AP3" s="150"/>
      <c r="AQ3" s="150"/>
      <c r="AR3" s="150"/>
      <c r="AS3" s="150"/>
      <c r="AT3" s="150"/>
      <c r="AU3" s="150"/>
      <c r="AV3" s="150"/>
      <c r="AW3" s="150"/>
      <c r="AX3" s="150"/>
      <c r="AY3" s="150"/>
      <c r="AZ3" s="150"/>
      <c r="BA3" s="150"/>
      <c r="BB3" s="150"/>
      <c r="BC3" s="150"/>
      <c r="BD3" s="150"/>
      <c r="BE3" s="150"/>
      <c r="BF3" s="150"/>
      <c r="BG3" s="150"/>
      <c r="BH3" s="150"/>
      <c r="BI3" s="150"/>
      <c r="BJ3" s="166"/>
      <c r="BK3" s="167"/>
      <c r="BL3" s="167"/>
      <c r="BM3" s="167"/>
      <c r="BN3" s="167"/>
      <c r="BO3" s="167"/>
      <c r="BP3" s="167"/>
      <c r="BQ3" s="168"/>
      <c r="BR3" s="147"/>
      <c r="BS3" s="147"/>
      <c r="BT3" s="147"/>
      <c r="BU3" s="147"/>
      <c r="BV3" s="147"/>
      <c r="BW3" s="147"/>
      <c r="BX3" s="147"/>
      <c r="BY3" s="147"/>
      <c r="BZ3" s="147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57"/>
      <c r="DJ3" s="158"/>
      <c r="DK3" s="158"/>
      <c r="DL3" s="158"/>
      <c r="DM3" s="158"/>
      <c r="DN3" s="158"/>
      <c r="DO3" s="158"/>
      <c r="DP3" s="158"/>
      <c r="DQ3" s="158"/>
      <c r="DR3" s="158"/>
      <c r="DS3" s="159"/>
    </row>
    <row r="4" spans="1:123" ht="6" customHeight="1" x14ac:dyDescent="0.35">
      <c r="A4" s="44"/>
      <c r="B4" s="44"/>
      <c r="C4" s="44"/>
      <c r="D4" s="44"/>
      <c r="E4" s="44"/>
      <c r="F4" s="44"/>
      <c r="G4" s="44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CC4" s="47"/>
    </row>
    <row r="5" spans="1:123" ht="6" customHeight="1" x14ac:dyDescent="0.35">
      <c r="A5" s="170" t="s">
        <v>134</v>
      </c>
      <c r="B5" s="170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  <c r="U5" s="170"/>
      <c r="V5" s="170"/>
      <c r="W5" s="170"/>
      <c r="X5" s="170"/>
      <c r="Y5" s="170"/>
      <c r="Z5" s="170"/>
      <c r="AA5" s="170"/>
      <c r="AB5" s="141" t="s">
        <v>117</v>
      </c>
      <c r="AC5" s="141"/>
      <c r="AD5" s="141"/>
      <c r="AE5" s="141"/>
      <c r="AF5" s="141"/>
      <c r="AG5" s="141"/>
      <c r="AH5" s="141" t="s">
        <v>16</v>
      </c>
      <c r="AI5" s="141"/>
      <c r="AJ5" s="141"/>
      <c r="AK5" s="141"/>
      <c r="AL5" s="141" t="s">
        <v>17</v>
      </c>
      <c r="AM5" s="141"/>
      <c r="AN5" s="141"/>
      <c r="AO5" s="141"/>
      <c r="AP5" s="141" t="s">
        <v>15</v>
      </c>
      <c r="AQ5" s="141"/>
      <c r="AR5" s="141"/>
      <c r="AS5" s="141"/>
      <c r="AU5" s="143" t="s">
        <v>135</v>
      </c>
      <c r="AV5" s="143"/>
      <c r="AW5" s="143"/>
      <c r="AX5" s="143"/>
      <c r="AY5" s="143"/>
      <c r="AZ5" s="143" t="s">
        <v>136</v>
      </c>
      <c r="BA5" s="143"/>
      <c r="BB5" s="143"/>
      <c r="BC5" s="143"/>
      <c r="BD5" s="236" t="s">
        <v>4</v>
      </c>
      <c r="BE5" s="236"/>
      <c r="BF5" s="236"/>
      <c r="BG5" s="236"/>
      <c r="BH5" s="236"/>
      <c r="BI5" s="236"/>
      <c r="BJ5" s="236"/>
      <c r="BK5" s="236"/>
      <c r="BL5" s="236"/>
      <c r="BM5" s="236"/>
      <c r="BN5" s="236"/>
      <c r="BO5" s="236"/>
      <c r="BP5" s="236"/>
      <c r="BQ5" s="236"/>
      <c r="BR5" s="236"/>
      <c r="BS5" s="236"/>
      <c r="BT5" s="236"/>
      <c r="BU5" s="236"/>
      <c r="BV5" s="234" t="s">
        <v>137</v>
      </c>
      <c r="BW5" s="172"/>
      <c r="BX5" s="172"/>
      <c r="BY5" s="172"/>
      <c r="BZ5" s="234" t="s">
        <v>138</v>
      </c>
      <c r="CA5" s="172"/>
      <c r="CB5" s="172"/>
      <c r="CC5" s="172"/>
      <c r="CD5" s="172"/>
      <c r="CF5" s="186" t="s">
        <v>257</v>
      </c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5" t="s">
        <v>21</v>
      </c>
      <c r="DP5" s="185"/>
      <c r="DQ5" s="185"/>
      <c r="DR5" s="185"/>
      <c r="DS5" s="185"/>
    </row>
    <row r="6" spans="1:123" ht="6" customHeight="1" x14ac:dyDescent="0.35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42"/>
      <c r="AC6" s="142"/>
      <c r="AD6" s="142"/>
      <c r="AE6" s="142"/>
      <c r="AF6" s="142"/>
      <c r="AG6" s="142"/>
      <c r="AH6" s="141"/>
      <c r="AI6" s="141"/>
      <c r="AJ6" s="141"/>
      <c r="AK6" s="141"/>
      <c r="AL6" s="141"/>
      <c r="AM6" s="141"/>
      <c r="AN6" s="141"/>
      <c r="AO6" s="141"/>
      <c r="AP6" s="141"/>
      <c r="AQ6" s="141"/>
      <c r="AR6" s="141"/>
      <c r="AS6" s="141"/>
      <c r="AU6" s="144"/>
      <c r="AV6" s="144"/>
      <c r="AW6" s="144"/>
      <c r="AX6" s="144"/>
      <c r="AY6" s="144"/>
      <c r="AZ6" s="143"/>
      <c r="BA6" s="143"/>
      <c r="BB6" s="143"/>
      <c r="BC6" s="143"/>
      <c r="BD6" s="236"/>
      <c r="BE6" s="236"/>
      <c r="BF6" s="236"/>
      <c r="BG6" s="236"/>
      <c r="BH6" s="236"/>
      <c r="BI6" s="236"/>
      <c r="BJ6" s="236"/>
      <c r="BK6" s="236"/>
      <c r="BL6" s="236"/>
      <c r="BM6" s="236"/>
      <c r="BN6" s="236"/>
      <c r="BO6" s="236"/>
      <c r="BP6" s="236"/>
      <c r="BQ6" s="236"/>
      <c r="BR6" s="236"/>
      <c r="BS6" s="236"/>
      <c r="BT6" s="236"/>
      <c r="BU6" s="236"/>
      <c r="BV6" s="234"/>
      <c r="BW6" s="172"/>
      <c r="BX6" s="172"/>
      <c r="BY6" s="172"/>
      <c r="BZ6" s="234"/>
      <c r="CA6" s="172"/>
      <c r="CB6" s="172"/>
      <c r="CC6" s="172"/>
      <c r="CD6" s="172"/>
      <c r="CF6" s="186"/>
      <c r="CG6" s="186"/>
      <c r="CH6" s="186"/>
      <c r="CI6" s="186"/>
      <c r="CJ6" s="186"/>
      <c r="CK6" s="186"/>
      <c r="CL6" s="186"/>
      <c r="CM6" s="186"/>
      <c r="CN6" s="186"/>
      <c r="CO6" s="186"/>
      <c r="CP6" s="186"/>
      <c r="CQ6" s="186"/>
      <c r="CR6" s="186"/>
      <c r="CS6" s="186"/>
      <c r="CT6" s="186"/>
      <c r="CU6" s="186"/>
      <c r="CV6" s="186"/>
      <c r="CW6" s="186"/>
      <c r="CX6" s="186"/>
      <c r="CY6" s="186"/>
      <c r="CZ6" s="186"/>
      <c r="DA6" s="186"/>
      <c r="DB6" s="186"/>
      <c r="DC6" s="186"/>
      <c r="DD6" s="186"/>
      <c r="DE6" s="186"/>
      <c r="DF6" s="186"/>
      <c r="DG6" s="186"/>
      <c r="DH6" s="186"/>
      <c r="DI6" s="186"/>
      <c r="DJ6" s="186"/>
      <c r="DK6" s="186"/>
      <c r="DL6" s="186"/>
      <c r="DM6" s="186"/>
      <c r="DN6" s="186"/>
      <c r="DO6" s="185"/>
      <c r="DP6" s="185"/>
      <c r="DQ6" s="185"/>
      <c r="DR6" s="185"/>
      <c r="DS6" s="185"/>
    </row>
    <row r="7" spans="1:123" ht="6" customHeight="1" x14ac:dyDescent="0.35">
      <c r="AU7" s="233"/>
      <c r="AV7" s="233"/>
      <c r="AW7" s="233"/>
      <c r="AX7" s="233"/>
      <c r="AY7" s="233"/>
      <c r="AZ7" s="233"/>
      <c r="BA7" s="233"/>
      <c r="BB7" s="233"/>
      <c r="BC7" s="233"/>
      <c r="BD7" s="236"/>
      <c r="BE7" s="236"/>
      <c r="BF7" s="236"/>
      <c r="BG7" s="236"/>
      <c r="BH7" s="236"/>
      <c r="BI7" s="236"/>
      <c r="BJ7" s="236"/>
      <c r="BK7" s="236"/>
      <c r="BL7" s="236"/>
      <c r="BM7" s="236"/>
      <c r="BN7" s="236"/>
      <c r="BO7" s="236"/>
      <c r="BP7" s="236"/>
      <c r="BQ7" s="236"/>
      <c r="BR7" s="236"/>
      <c r="BS7" s="236"/>
      <c r="BT7" s="236"/>
      <c r="BU7" s="236"/>
      <c r="BV7" s="233"/>
      <c r="BW7" s="233"/>
      <c r="BX7" s="233"/>
      <c r="BY7" s="233"/>
      <c r="BZ7" s="233"/>
      <c r="CA7" s="233"/>
      <c r="CB7" s="233"/>
      <c r="CC7" s="233"/>
      <c r="CD7" s="233"/>
      <c r="CF7" s="70"/>
      <c r="CG7" s="71"/>
      <c r="CH7" s="71"/>
      <c r="CI7" s="71"/>
      <c r="CJ7" s="71"/>
      <c r="CK7" s="71"/>
      <c r="CL7" s="71"/>
      <c r="CM7" s="71"/>
      <c r="CN7" s="71"/>
      <c r="CO7" s="71"/>
      <c r="CP7" s="71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2"/>
      <c r="DO7" s="76"/>
      <c r="DP7" s="77"/>
      <c r="DQ7" s="77"/>
      <c r="DR7" s="77"/>
      <c r="DS7" s="78"/>
    </row>
    <row r="8" spans="1:123" ht="6" customHeight="1" x14ac:dyDescent="0.35">
      <c r="AU8" s="233"/>
      <c r="AV8" s="233"/>
      <c r="AW8" s="233"/>
      <c r="AX8" s="233"/>
      <c r="AY8" s="233"/>
      <c r="AZ8" s="233"/>
      <c r="BA8" s="233"/>
      <c r="BB8" s="233"/>
      <c r="BC8" s="233"/>
      <c r="BD8" s="236"/>
      <c r="BE8" s="236"/>
      <c r="BF8" s="236"/>
      <c r="BG8" s="236"/>
      <c r="BH8" s="236"/>
      <c r="BI8" s="236"/>
      <c r="BJ8" s="236"/>
      <c r="BK8" s="236"/>
      <c r="BL8" s="236"/>
      <c r="BM8" s="236"/>
      <c r="BN8" s="236"/>
      <c r="BO8" s="236"/>
      <c r="BP8" s="236"/>
      <c r="BQ8" s="236"/>
      <c r="BR8" s="236"/>
      <c r="BS8" s="236"/>
      <c r="BT8" s="236"/>
      <c r="BU8" s="236"/>
      <c r="BV8" s="233"/>
      <c r="BW8" s="233"/>
      <c r="BX8" s="233"/>
      <c r="BY8" s="233"/>
      <c r="BZ8" s="233"/>
      <c r="CA8" s="233"/>
      <c r="CB8" s="233"/>
      <c r="CC8" s="233"/>
      <c r="CD8" s="233"/>
      <c r="CF8" s="73"/>
      <c r="CG8" s="74"/>
      <c r="CH8" s="74"/>
      <c r="CI8" s="74"/>
      <c r="CJ8" s="74"/>
      <c r="CK8" s="74"/>
      <c r="CL8" s="74"/>
      <c r="CM8" s="74"/>
      <c r="CN8" s="74"/>
      <c r="CO8" s="74"/>
      <c r="CP8" s="74"/>
      <c r="CQ8" s="74"/>
      <c r="CR8" s="74"/>
      <c r="CS8" s="74"/>
      <c r="CT8" s="74"/>
      <c r="CU8" s="74"/>
      <c r="CV8" s="74"/>
      <c r="CW8" s="74"/>
      <c r="CX8" s="74"/>
      <c r="CY8" s="74"/>
      <c r="CZ8" s="74"/>
      <c r="DA8" s="74"/>
      <c r="DB8" s="74"/>
      <c r="DC8" s="74"/>
      <c r="DD8" s="74"/>
      <c r="DE8" s="74"/>
      <c r="DF8" s="74"/>
      <c r="DG8" s="74"/>
      <c r="DH8" s="74"/>
      <c r="DI8" s="74"/>
      <c r="DJ8" s="74"/>
      <c r="DK8" s="74"/>
      <c r="DL8" s="74"/>
      <c r="DM8" s="74"/>
      <c r="DN8" s="75"/>
      <c r="DO8" s="79"/>
      <c r="DP8" s="80"/>
      <c r="DQ8" s="80"/>
      <c r="DR8" s="80"/>
      <c r="DS8" s="81"/>
    </row>
    <row r="9" spans="1:123" ht="6" customHeight="1" x14ac:dyDescent="0.35">
      <c r="AU9" s="233"/>
      <c r="AV9" s="233"/>
      <c r="AW9" s="233"/>
      <c r="AX9" s="233"/>
      <c r="AY9" s="233"/>
      <c r="AZ9" s="233"/>
      <c r="BA9" s="233"/>
      <c r="BB9" s="233"/>
      <c r="BC9" s="233"/>
      <c r="BD9" s="236"/>
      <c r="BE9" s="236"/>
      <c r="BF9" s="236"/>
      <c r="BG9" s="236"/>
      <c r="BH9" s="236"/>
      <c r="BI9" s="236"/>
      <c r="BJ9" s="236"/>
      <c r="BK9" s="236"/>
      <c r="BL9" s="236"/>
      <c r="BM9" s="236"/>
      <c r="BN9" s="236"/>
      <c r="BO9" s="236"/>
      <c r="BP9" s="236"/>
      <c r="BQ9" s="236"/>
      <c r="BR9" s="236"/>
      <c r="BS9" s="236"/>
      <c r="BT9" s="236"/>
      <c r="BU9" s="236"/>
      <c r="BV9" s="233"/>
      <c r="BW9" s="233"/>
      <c r="BX9" s="233"/>
      <c r="BY9" s="233"/>
      <c r="BZ9" s="233"/>
      <c r="CA9" s="233"/>
      <c r="CB9" s="233"/>
      <c r="CC9" s="233"/>
      <c r="CD9" s="233"/>
      <c r="CF9" s="70"/>
      <c r="CG9" s="71"/>
      <c r="CH9" s="71"/>
      <c r="CI9" s="71"/>
      <c r="CJ9" s="71"/>
      <c r="CK9" s="71"/>
      <c r="CL9" s="71"/>
      <c r="CM9" s="71"/>
      <c r="CN9" s="71"/>
      <c r="CO9" s="71"/>
      <c r="CP9" s="71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2"/>
      <c r="DO9" s="76"/>
      <c r="DP9" s="77"/>
      <c r="DQ9" s="77"/>
      <c r="DR9" s="77"/>
      <c r="DS9" s="78"/>
    </row>
    <row r="10" spans="1:123" ht="6" customHeight="1" x14ac:dyDescent="0.35">
      <c r="AU10" s="233"/>
      <c r="AV10" s="233"/>
      <c r="AW10" s="233"/>
      <c r="AX10" s="233"/>
      <c r="AY10" s="233"/>
      <c r="AZ10" s="233"/>
      <c r="BA10" s="233"/>
      <c r="BB10" s="233"/>
      <c r="BC10" s="233"/>
      <c r="BD10" s="236"/>
      <c r="BE10" s="236"/>
      <c r="BF10" s="236"/>
      <c r="BG10" s="236"/>
      <c r="BH10" s="236"/>
      <c r="BI10" s="236"/>
      <c r="BJ10" s="236"/>
      <c r="BK10" s="236"/>
      <c r="BL10" s="236"/>
      <c r="BM10" s="236"/>
      <c r="BN10" s="236"/>
      <c r="BO10" s="236"/>
      <c r="BP10" s="236"/>
      <c r="BQ10" s="236"/>
      <c r="BR10" s="236"/>
      <c r="BS10" s="236"/>
      <c r="BT10" s="236"/>
      <c r="BU10" s="236"/>
      <c r="BV10" s="233"/>
      <c r="BW10" s="233"/>
      <c r="BX10" s="233"/>
      <c r="BY10" s="233"/>
      <c r="BZ10" s="233"/>
      <c r="CA10" s="233"/>
      <c r="CB10" s="233"/>
      <c r="CC10" s="233"/>
      <c r="CD10" s="233"/>
      <c r="CF10" s="73"/>
      <c r="CG10" s="74"/>
      <c r="CH10" s="74"/>
      <c r="CI10" s="74"/>
      <c r="CJ10" s="74"/>
      <c r="CK10" s="74"/>
      <c r="CL10" s="74"/>
      <c r="CM10" s="74"/>
      <c r="CN10" s="74"/>
      <c r="CO10" s="74"/>
      <c r="CP10" s="74"/>
      <c r="CQ10" s="74"/>
      <c r="CR10" s="74"/>
      <c r="CS10" s="74"/>
      <c r="CT10" s="74"/>
      <c r="CU10" s="74"/>
      <c r="CV10" s="74"/>
      <c r="CW10" s="74"/>
      <c r="CX10" s="74"/>
      <c r="CY10" s="74"/>
      <c r="CZ10" s="74"/>
      <c r="DA10" s="74"/>
      <c r="DB10" s="74"/>
      <c r="DC10" s="74"/>
      <c r="DD10" s="74"/>
      <c r="DE10" s="74"/>
      <c r="DF10" s="74"/>
      <c r="DG10" s="74"/>
      <c r="DH10" s="74"/>
      <c r="DI10" s="74"/>
      <c r="DJ10" s="74"/>
      <c r="DK10" s="74"/>
      <c r="DL10" s="74"/>
      <c r="DM10" s="74"/>
      <c r="DN10" s="75"/>
      <c r="DO10" s="79"/>
      <c r="DP10" s="80"/>
      <c r="DQ10" s="80"/>
      <c r="DR10" s="80"/>
      <c r="DS10" s="81"/>
    </row>
    <row r="11" spans="1:123" ht="6" customHeight="1" x14ac:dyDescent="0.35">
      <c r="AU11" s="204" t="s">
        <v>6</v>
      </c>
      <c r="AV11" s="204"/>
      <c r="AW11" s="204"/>
      <c r="AX11" s="204"/>
      <c r="AY11" s="204"/>
      <c r="AZ11" s="204"/>
      <c r="BA11" s="204"/>
      <c r="BB11" s="204"/>
      <c r="BC11" s="204"/>
      <c r="BD11" s="204"/>
      <c r="BE11" s="204"/>
      <c r="BF11" s="204"/>
      <c r="BG11" s="206" t="s">
        <v>19</v>
      </c>
      <c r="BH11" s="207"/>
      <c r="BI11" s="175">
        <f>3*(AU7+1)</f>
        <v>3</v>
      </c>
      <c r="BJ11" s="175"/>
      <c r="BK11" s="175"/>
      <c r="BL11" s="175"/>
      <c r="BM11" s="172" t="s">
        <v>7</v>
      </c>
      <c r="BN11" s="172"/>
      <c r="BO11" s="172"/>
      <c r="BP11" s="172"/>
      <c r="BQ11" s="172"/>
      <c r="BR11" s="172"/>
      <c r="BS11" s="172"/>
      <c r="BT11" s="172"/>
      <c r="BU11" s="172"/>
      <c r="BV11" s="172"/>
      <c r="BW11" s="172"/>
      <c r="BX11" s="172"/>
      <c r="BY11" s="173" t="s">
        <v>19</v>
      </c>
      <c r="BZ11" s="173"/>
      <c r="CA11" s="175">
        <f>3*(BZ7+1)</f>
        <v>3</v>
      </c>
      <c r="CB11" s="175"/>
      <c r="CC11" s="175"/>
      <c r="CD11" s="175"/>
      <c r="CE11" s="50"/>
      <c r="CF11" s="70"/>
      <c r="CG11" s="71"/>
      <c r="CH11" s="71"/>
      <c r="CI11" s="71"/>
      <c r="CJ11" s="71"/>
      <c r="CK11" s="71"/>
      <c r="CL11" s="71"/>
      <c r="CM11" s="71"/>
      <c r="CN11" s="71"/>
      <c r="CO11" s="71"/>
      <c r="CP11" s="71"/>
      <c r="CQ11" s="71"/>
      <c r="CR11" s="71"/>
      <c r="CS11" s="71"/>
      <c r="CT11" s="71"/>
      <c r="CU11" s="71"/>
      <c r="CV11" s="71"/>
      <c r="CW11" s="71"/>
      <c r="CX11" s="71"/>
      <c r="CY11" s="71"/>
      <c r="CZ11" s="71"/>
      <c r="DA11" s="71"/>
      <c r="DB11" s="71"/>
      <c r="DC11" s="71"/>
      <c r="DD11" s="71"/>
      <c r="DE11" s="71"/>
      <c r="DF11" s="71"/>
      <c r="DG11" s="71"/>
      <c r="DH11" s="71"/>
      <c r="DI11" s="71"/>
      <c r="DJ11" s="71"/>
      <c r="DK11" s="71"/>
      <c r="DL11" s="71"/>
      <c r="DM11" s="71"/>
      <c r="DN11" s="72"/>
      <c r="DO11" s="76"/>
      <c r="DP11" s="77"/>
      <c r="DQ11" s="77"/>
      <c r="DR11" s="77"/>
      <c r="DS11" s="78"/>
    </row>
    <row r="12" spans="1:123" ht="6" customHeight="1" x14ac:dyDescent="0.35">
      <c r="AU12" s="204"/>
      <c r="AV12" s="204"/>
      <c r="AW12" s="204"/>
      <c r="AX12" s="204"/>
      <c r="AY12" s="204"/>
      <c r="AZ12" s="204"/>
      <c r="BA12" s="204"/>
      <c r="BB12" s="204"/>
      <c r="BC12" s="204"/>
      <c r="BD12" s="204"/>
      <c r="BE12" s="204"/>
      <c r="BF12" s="204"/>
      <c r="BG12" s="206"/>
      <c r="BH12" s="207"/>
      <c r="BI12" s="175"/>
      <c r="BJ12" s="175"/>
      <c r="BK12" s="175"/>
      <c r="BL12" s="175"/>
      <c r="BM12" s="172"/>
      <c r="BN12" s="172"/>
      <c r="BO12" s="172"/>
      <c r="BP12" s="172"/>
      <c r="BQ12" s="172"/>
      <c r="BR12" s="172"/>
      <c r="BS12" s="172"/>
      <c r="BT12" s="172"/>
      <c r="BU12" s="172"/>
      <c r="BV12" s="172"/>
      <c r="BW12" s="172"/>
      <c r="BX12" s="172"/>
      <c r="BY12" s="174"/>
      <c r="BZ12" s="174"/>
      <c r="CA12" s="175"/>
      <c r="CB12" s="175"/>
      <c r="CC12" s="175"/>
      <c r="CD12" s="175"/>
      <c r="CE12" s="50"/>
      <c r="CF12" s="73"/>
      <c r="CG12" s="74"/>
      <c r="CH12" s="74"/>
      <c r="CI12" s="74"/>
      <c r="CJ12" s="74"/>
      <c r="CK12" s="74"/>
      <c r="CL12" s="74"/>
      <c r="CM12" s="74"/>
      <c r="CN12" s="74"/>
      <c r="CO12" s="74"/>
      <c r="CP12" s="74"/>
      <c r="CQ12" s="74"/>
      <c r="CR12" s="74"/>
      <c r="CS12" s="74"/>
      <c r="CT12" s="74"/>
      <c r="CU12" s="74"/>
      <c r="CV12" s="74"/>
      <c r="CW12" s="74"/>
      <c r="CX12" s="74"/>
      <c r="CY12" s="74"/>
      <c r="CZ12" s="74"/>
      <c r="DA12" s="74"/>
      <c r="DB12" s="74"/>
      <c r="DC12" s="74"/>
      <c r="DD12" s="74"/>
      <c r="DE12" s="74"/>
      <c r="DF12" s="74"/>
      <c r="DG12" s="74"/>
      <c r="DH12" s="74"/>
      <c r="DI12" s="74"/>
      <c r="DJ12" s="74"/>
      <c r="DK12" s="74"/>
      <c r="DL12" s="74"/>
      <c r="DM12" s="74"/>
      <c r="DN12" s="75"/>
      <c r="DO12" s="79"/>
      <c r="DP12" s="80"/>
      <c r="DQ12" s="80"/>
      <c r="DR12" s="80"/>
      <c r="DS12" s="81"/>
    </row>
    <row r="13" spans="1:123" ht="6" customHeight="1" x14ac:dyDescent="0.35">
      <c r="AU13" s="235"/>
      <c r="AV13" s="235"/>
      <c r="AW13" s="235"/>
      <c r="AX13" s="235"/>
      <c r="AY13" s="235"/>
      <c r="AZ13" s="235"/>
      <c r="BA13" s="235"/>
      <c r="BB13" s="235"/>
      <c r="BC13" s="235"/>
      <c r="BD13" s="235"/>
      <c r="BE13" s="235"/>
      <c r="BF13" s="235"/>
      <c r="BG13" s="241"/>
      <c r="BH13" s="241"/>
      <c r="BI13" s="175"/>
      <c r="BJ13" s="175"/>
      <c r="BK13" s="175"/>
      <c r="BL13" s="175"/>
      <c r="BM13" s="172"/>
      <c r="BN13" s="172"/>
      <c r="BO13" s="172"/>
      <c r="BP13" s="172"/>
      <c r="BQ13" s="172"/>
      <c r="BR13" s="172"/>
      <c r="BS13" s="172"/>
      <c r="BT13" s="172"/>
      <c r="BU13" s="172"/>
      <c r="BV13" s="172"/>
      <c r="BW13" s="172"/>
      <c r="BX13" s="172"/>
      <c r="BY13" s="174"/>
      <c r="BZ13" s="174"/>
      <c r="CA13" s="175"/>
      <c r="CB13" s="175"/>
      <c r="CC13" s="175"/>
      <c r="CD13" s="175"/>
      <c r="CE13" s="50"/>
      <c r="CF13" s="70"/>
      <c r="CG13" s="71"/>
      <c r="CH13" s="71"/>
      <c r="CI13" s="71"/>
      <c r="CJ13" s="71"/>
      <c r="CK13" s="71"/>
      <c r="CL13" s="71"/>
      <c r="CM13" s="71"/>
      <c r="CN13" s="71"/>
      <c r="CO13" s="71"/>
      <c r="CP13" s="71"/>
      <c r="CQ13" s="71"/>
      <c r="CR13" s="71"/>
      <c r="CS13" s="71"/>
      <c r="CT13" s="71"/>
      <c r="CU13" s="71"/>
      <c r="CV13" s="71"/>
      <c r="CW13" s="71"/>
      <c r="CX13" s="71"/>
      <c r="CY13" s="71"/>
      <c r="CZ13" s="71"/>
      <c r="DA13" s="71"/>
      <c r="DB13" s="71"/>
      <c r="DC13" s="71"/>
      <c r="DD13" s="71"/>
      <c r="DE13" s="71"/>
      <c r="DF13" s="71"/>
      <c r="DG13" s="71"/>
      <c r="DH13" s="71"/>
      <c r="DI13" s="71"/>
      <c r="DJ13" s="71"/>
      <c r="DK13" s="71"/>
      <c r="DL13" s="71"/>
      <c r="DM13" s="71"/>
      <c r="DN13" s="72"/>
      <c r="DO13" s="76"/>
      <c r="DP13" s="77"/>
      <c r="DQ13" s="77"/>
      <c r="DR13" s="77"/>
      <c r="DS13" s="78"/>
    </row>
    <row r="14" spans="1:123" ht="6" customHeight="1" x14ac:dyDescent="0.35">
      <c r="AU14" s="176"/>
      <c r="AV14" s="177"/>
      <c r="AW14" s="177"/>
      <c r="AX14" s="177"/>
      <c r="AY14" s="177"/>
      <c r="AZ14" s="177"/>
      <c r="BA14" s="177"/>
      <c r="BB14" s="177"/>
      <c r="BC14" s="178"/>
      <c r="BD14" s="176"/>
      <c r="BE14" s="177"/>
      <c r="BF14" s="177"/>
      <c r="BG14" s="177"/>
      <c r="BH14" s="177"/>
      <c r="BI14" s="180"/>
      <c r="BJ14" s="180"/>
      <c r="BK14" s="180"/>
      <c r="BL14" s="180"/>
      <c r="BM14" s="169"/>
      <c r="BN14" s="169"/>
      <c r="BO14" s="169"/>
      <c r="BP14" s="169"/>
      <c r="BQ14" s="169"/>
      <c r="BR14" s="169"/>
      <c r="BS14" s="169"/>
      <c r="BT14" s="169"/>
      <c r="BU14" s="169"/>
      <c r="BV14" s="169"/>
      <c r="BW14" s="169"/>
      <c r="BX14" s="169"/>
      <c r="BY14" s="169"/>
      <c r="BZ14" s="169"/>
      <c r="CA14" s="169"/>
      <c r="CB14" s="169"/>
      <c r="CC14" s="169"/>
      <c r="CD14" s="169"/>
      <c r="CF14" s="73"/>
      <c r="CG14" s="74"/>
      <c r="CH14" s="74"/>
      <c r="CI14" s="74"/>
      <c r="CJ14" s="74"/>
      <c r="CK14" s="74"/>
      <c r="CL14" s="74"/>
      <c r="CM14" s="74"/>
      <c r="CN14" s="74"/>
      <c r="CO14" s="74"/>
      <c r="CP14" s="74"/>
      <c r="CQ14" s="74"/>
      <c r="CR14" s="74"/>
      <c r="CS14" s="74"/>
      <c r="CT14" s="74"/>
      <c r="CU14" s="74"/>
      <c r="CV14" s="74"/>
      <c r="CW14" s="74"/>
      <c r="CX14" s="74"/>
      <c r="CY14" s="74"/>
      <c r="CZ14" s="74"/>
      <c r="DA14" s="74"/>
      <c r="DB14" s="74"/>
      <c r="DC14" s="74"/>
      <c r="DD14" s="74"/>
      <c r="DE14" s="74"/>
      <c r="DF14" s="74"/>
      <c r="DG14" s="74"/>
      <c r="DH14" s="74"/>
      <c r="DI14" s="74"/>
      <c r="DJ14" s="74"/>
      <c r="DK14" s="74"/>
      <c r="DL14" s="74"/>
      <c r="DM14" s="74"/>
      <c r="DN14" s="75"/>
      <c r="DO14" s="79"/>
      <c r="DP14" s="80"/>
      <c r="DQ14" s="80"/>
      <c r="DR14" s="80"/>
      <c r="DS14" s="81"/>
    </row>
    <row r="15" spans="1:123" ht="6" customHeight="1" x14ac:dyDescent="0.35">
      <c r="AU15" s="179"/>
      <c r="AV15" s="180"/>
      <c r="AW15" s="180"/>
      <c r="AX15" s="180"/>
      <c r="AY15" s="180"/>
      <c r="AZ15" s="180"/>
      <c r="BA15" s="180"/>
      <c r="BB15" s="180"/>
      <c r="BC15" s="181"/>
      <c r="BD15" s="179"/>
      <c r="BE15" s="180"/>
      <c r="BF15" s="180"/>
      <c r="BG15" s="180"/>
      <c r="BH15" s="180"/>
      <c r="BI15" s="180"/>
      <c r="BJ15" s="180"/>
      <c r="BK15" s="180"/>
      <c r="BL15" s="180"/>
      <c r="BM15" s="169"/>
      <c r="BN15" s="169"/>
      <c r="BO15" s="169"/>
      <c r="BP15" s="169"/>
      <c r="BQ15" s="169"/>
      <c r="BR15" s="169"/>
      <c r="BS15" s="169"/>
      <c r="BT15" s="169"/>
      <c r="BU15" s="169"/>
      <c r="BV15" s="169"/>
      <c r="BW15" s="169"/>
      <c r="BX15" s="169"/>
      <c r="BY15" s="169"/>
      <c r="BZ15" s="169"/>
      <c r="CA15" s="169"/>
      <c r="CB15" s="169"/>
      <c r="CC15" s="169"/>
      <c r="CD15" s="169"/>
      <c r="CF15" s="70"/>
      <c r="CG15" s="71"/>
      <c r="CH15" s="71"/>
      <c r="CI15" s="71"/>
      <c r="CJ15" s="71"/>
      <c r="CK15" s="71"/>
      <c r="CL15" s="71"/>
      <c r="CM15" s="71"/>
      <c r="CN15" s="71"/>
      <c r="CO15" s="71"/>
      <c r="CP15" s="71"/>
      <c r="CQ15" s="71"/>
      <c r="CR15" s="71"/>
      <c r="CS15" s="71"/>
      <c r="CT15" s="71"/>
      <c r="CU15" s="71"/>
      <c r="CV15" s="71"/>
      <c r="CW15" s="71"/>
      <c r="CX15" s="71"/>
      <c r="CY15" s="71"/>
      <c r="CZ15" s="71"/>
      <c r="DA15" s="71"/>
      <c r="DB15" s="71"/>
      <c r="DC15" s="71"/>
      <c r="DD15" s="71"/>
      <c r="DE15" s="71"/>
      <c r="DF15" s="71"/>
      <c r="DG15" s="71"/>
      <c r="DH15" s="71"/>
      <c r="DI15" s="71"/>
      <c r="DJ15" s="71"/>
      <c r="DK15" s="71"/>
      <c r="DL15" s="71"/>
      <c r="DM15" s="71"/>
      <c r="DN15" s="72"/>
      <c r="DO15" s="76"/>
      <c r="DP15" s="77"/>
      <c r="DQ15" s="77"/>
      <c r="DR15" s="77"/>
      <c r="DS15" s="78"/>
    </row>
    <row r="16" spans="1:123" ht="6" customHeight="1" x14ac:dyDescent="0.35">
      <c r="AU16" s="179"/>
      <c r="AV16" s="180"/>
      <c r="AW16" s="180"/>
      <c r="AX16" s="180"/>
      <c r="AY16" s="180"/>
      <c r="AZ16" s="180"/>
      <c r="BA16" s="180"/>
      <c r="BB16" s="180"/>
      <c r="BC16" s="181"/>
      <c r="BD16" s="179"/>
      <c r="BE16" s="180"/>
      <c r="BF16" s="180"/>
      <c r="BG16" s="180"/>
      <c r="BH16" s="180"/>
      <c r="BI16" s="180"/>
      <c r="BJ16" s="180"/>
      <c r="BK16" s="180"/>
      <c r="BL16" s="180"/>
      <c r="BM16" s="169"/>
      <c r="BN16" s="169"/>
      <c r="BO16" s="169"/>
      <c r="BP16" s="169"/>
      <c r="BQ16" s="169"/>
      <c r="BR16" s="169"/>
      <c r="BS16" s="169"/>
      <c r="BT16" s="169"/>
      <c r="BU16" s="169"/>
      <c r="BV16" s="169"/>
      <c r="BW16" s="169"/>
      <c r="BX16" s="169"/>
      <c r="BY16" s="169"/>
      <c r="BZ16" s="169"/>
      <c r="CA16" s="169"/>
      <c r="CB16" s="169"/>
      <c r="CC16" s="169"/>
      <c r="CD16" s="169"/>
      <c r="CF16" s="73"/>
      <c r="CG16" s="74"/>
      <c r="CH16" s="74"/>
      <c r="CI16" s="74"/>
      <c r="CJ16" s="74"/>
      <c r="CK16" s="74"/>
      <c r="CL16" s="74"/>
      <c r="CM16" s="74"/>
      <c r="CN16" s="74"/>
      <c r="CO16" s="74"/>
      <c r="CP16" s="74"/>
      <c r="CQ16" s="74"/>
      <c r="CR16" s="74"/>
      <c r="CS16" s="74"/>
      <c r="CT16" s="74"/>
      <c r="CU16" s="74"/>
      <c r="CV16" s="74"/>
      <c r="CW16" s="74"/>
      <c r="CX16" s="74"/>
      <c r="CY16" s="74"/>
      <c r="CZ16" s="74"/>
      <c r="DA16" s="74"/>
      <c r="DB16" s="74"/>
      <c r="DC16" s="74"/>
      <c r="DD16" s="74"/>
      <c r="DE16" s="74"/>
      <c r="DF16" s="74"/>
      <c r="DG16" s="74"/>
      <c r="DH16" s="74"/>
      <c r="DI16" s="74"/>
      <c r="DJ16" s="74"/>
      <c r="DK16" s="74"/>
      <c r="DL16" s="74"/>
      <c r="DM16" s="74"/>
      <c r="DN16" s="75"/>
      <c r="DO16" s="79"/>
      <c r="DP16" s="80"/>
      <c r="DQ16" s="80"/>
      <c r="DR16" s="80"/>
      <c r="DS16" s="81"/>
    </row>
    <row r="17" spans="47:123" ht="6" customHeight="1" x14ac:dyDescent="0.35">
      <c r="AU17" s="179"/>
      <c r="AV17" s="180"/>
      <c r="AW17" s="180"/>
      <c r="AX17" s="180"/>
      <c r="AY17" s="180"/>
      <c r="AZ17" s="180"/>
      <c r="BA17" s="180"/>
      <c r="BB17" s="180"/>
      <c r="BC17" s="181"/>
      <c r="BD17" s="179"/>
      <c r="BE17" s="180"/>
      <c r="BF17" s="180"/>
      <c r="BG17" s="180"/>
      <c r="BH17" s="180"/>
      <c r="BI17" s="180"/>
      <c r="BJ17" s="180"/>
      <c r="BK17" s="180"/>
      <c r="BL17" s="180"/>
      <c r="BM17" s="169"/>
      <c r="BN17" s="169"/>
      <c r="BO17" s="169"/>
      <c r="BP17" s="169"/>
      <c r="BQ17" s="169"/>
      <c r="BR17" s="169"/>
      <c r="BS17" s="169"/>
      <c r="BT17" s="169"/>
      <c r="BU17" s="169"/>
      <c r="BV17" s="169"/>
      <c r="BW17" s="169"/>
      <c r="BX17" s="169"/>
      <c r="BY17" s="169"/>
      <c r="BZ17" s="169"/>
      <c r="CA17" s="169"/>
      <c r="CB17" s="169"/>
      <c r="CC17" s="169"/>
      <c r="CD17" s="169"/>
      <c r="CF17" s="70"/>
      <c r="CG17" s="71"/>
      <c r="CH17" s="71"/>
      <c r="CI17" s="71"/>
      <c r="CJ17" s="71"/>
      <c r="CK17" s="71"/>
      <c r="CL17" s="71"/>
      <c r="CM17" s="71"/>
      <c r="CN17" s="71"/>
      <c r="CO17" s="71"/>
      <c r="CP17" s="71"/>
      <c r="CQ17" s="71"/>
      <c r="CR17" s="71"/>
      <c r="CS17" s="71"/>
      <c r="CT17" s="71"/>
      <c r="CU17" s="71"/>
      <c r="CV17" s="71"/>
      <c r="CW17" s="71"/>
      <c r="CX17" s="71"/>
      <c r="CY17" s="71"/>
      <c r="CZ17" s="71"/>
      <c r="DA17" s="71"/>
      <c r="DB17" s="71"/>
      <c r="DC17" s="71"/>
      <c r="DD17" s="71"/>
      <c r="DE17" s="71"/>
      <c r="DF17" s="71"/>
      <c r="DG17" s="71"/>
      <c r="DH17" s="71"/>
      <c r="DI17" s="71"/>
      <c r="DJ17" s="71"/>
      <c r="DK17" s="71"/>
      <c r="DL17" s="71"/>
      <c r="DM17" s="71"/>
      <c r="DN17" s="72"/>
      <c r="DO17" s="76"/>
      <c r="DP17" s="77"/>
      <c r="DQ17" s="77"/>
      <c r="DR17" s="77"/>
      <c r="DS17" s="78"/>
    </row>
    <row r="18" spans="47:123" ht="6" customHeight="1" x14ac:dyDescent="0.35">
      <c r="AU18" s="182"/>
      <c r="AV18" s="183"/>
      <c r="AW18" s="183"/>
      <c r="AX18" s="183"/>
      <c r="AY18" s="183"/>
      <c r="AZ18" s="183"/>
      <c r="BA18" s="183"/>
      <c r="BB18" s="183"/>
      <c r="BC18" s="184"/>
      <c r="BD18" s="182"/>
      <c r="BE18" s="183"/>
      <c r="BF18" s="183"/>
      <c r="BG18" s="183"/>
      <c r="BH18" s="183"/>
      <c r="BI18" s="183"/>
      <c r="BJ18" s="183"/>
      <c r="BK18" s="183"/>
      <c r="BL18" s="183"/>
      <c r="BM18" s="169"/>
      <c r="BN18" s="169"/>
      <c r="BO18" s="169"/>
      <c r="BP18" s="169"/>
      <c r="BQ18" s="169"/>
      <c r="BR18" s="169"/>
      <c r="BS18" s="169"/>
      <c r="BT18" s="169"/>
      <c r="BU18" s="169"/>
      <c r="BV18" s="169"/>
      <c r="BW18" s="169"/>
      <c r="BX18" s="169"/>
      <c r="BY18" s="169"/>
      <c r="BZ18" s="169"/>
      <c r="CA18" s="169"/>
      <c r="CB18" s="169"/>
      <c r="CC18" s="169"/>
      <c r="CD18" s="169"/>
      <c r="CF18" s="73"/>
      <c r="CG18" s="74"/>
      <c r="CH18" s="74"/>
      <c r="CI18" s="74"/>
      <c r="CJ18" s="74"/>
      <c r="CK18" s="74"/>
      <c r="CL18" s="74"/>
      <c r="CM18" s="74"/>
      <c r="CN18" s="74"/>
      <c r="CO18" s="74"/>
      <c r="CP18" s="74"/>
      <c r="CQ18" s="74"/>
      <c r="CR18" s="74"/>
      <c r="CS18" s="74"/>
      <c r="CT18" s="74"/>
      <c r="CU18" s="74"/>
      <c r="CV18" s="74"/>
      <c r="CW18" s="74"/>
      <c r="CX18" s="74"/>
      <c r="CY18" s="74"/>
      <c r="CZ18" s="74"/>
      <c r="DA18" s="74"/>
      <c r="DB18" s="74"/>
      <c r="DC18" s="74"/>
      <c r="DD18" s="74"/>
      <c r="DE18" s="74"/>
      <c r="DF18" s="74"/>
      <c r="DG18" s="74"/>
      <c r="DH18" s="74"/>
      <c r="DI18" s="74"/>
      <c r="DJ18" s="74"/>
      <c r="DK18" s="74"/>
      <c r="DL18" s="74"/>
      <c r="DM18" s="74"/>
      <c r="DN18" s="75"/>
      <c r="DO18" s="79"/>
      <c r="DP18" s="80"/>
      <c r="DQ18" s="80"/>
      <c r="DR18" s="80"/>
      <c r="DS18" s="81"/>
    </row>
    <row r="19" spans="47:123" ht="6" customHeight="1" x14ac:dyDescent="0.35">
      <c r="AU19" s="237" t="s">
        <v>9</v>
      </c>
      <c r="AV19" s="238"/>
      <c r="AW19" s="238"/>
      <c r="AX19" s="238"/>
      <c r="AY19" s="238"/>
      <c r="AZ19" s="238"/>
      <c r="BA19" s="238"/>
      <c r="BB19" s="238"/>
      <c r="BC19" s="238"/>
      <c r="BD19" s="239" t="s">
        <v>10</v>
      </c>
      <c r="BE19" s="239"/>
      <c r="BF19" s="239"/>
      <c r="BG19" s="239"/>
      <c r="BH19" s="239"/>
      <c r="BI19" s="239"/>
      <c r="BJ19" s="239"/>
      <c r="BK19" s="239"/>
      <c r="BL19" s="239"/>
      <c r="BM19" s="197" t="s">
        <v>10</v>
      </c>
      <c r="BN19" s="197"/>
      <c r="BO19" s="197"/>
      <c r="BP19" s="197"/>
      <c r="BQ19" s="197"/>
      <c r="BR19" s="197"/>
      <c r="BS19" s="197"/>
      <c r="BT19" s="197"/>
      <c r="BU19" s="197"/>
      <c r="BV19" s="197" t="s">
        <v>9</v>
      </c>
      <c r="BW19" s="197"/>
      <c r="BX19" s="197"/>
      <c r="BY19" s="197"/>
      <c r="BZ19" s="197"/>
      <c r="CA19" s="197"/>
      <c r="CB19" s="197"/>
      <c r="CC19" s="197"/>
      <c r="CD19" s="221"/>
      <c r="CF19" s="70"/>
      <c r="CG19" s="71"/>
      <c r="CH19" s="71"/>
      <c r="CI19" s="71"/>
      <c r="CJ19" s="71"/>
      <c r="CK19" s="71"/>
      <c r="CL19" s="71"/>
      <c r="CM19" s="71"/>
      <c r="CN19" s="71"/>
      <c r="CO19" s="71"/>
      <c r="CP19" s="71"/>
      <c r="CQ19" s="71"/>
      <c r="CR19" s="71"/>
      <c r="CS19" s="71"/>
      <c r="CT19" s="71"/>
      <c r="CU19" s="71"/>
      <c r="CV19" s="71"/>
      <c r="CW19" s="71"/>
      <c r="CX19" s="71"/>
      <c r="CY19" s="71"/>
      <c r="CZ19" s="71"/>
      <c r="DA19" s="71"/>
      <c r="DB19" s="71"/>
      <c r="DC19" s="71"/>
      <c r="DD19" s="71"/>
      <c r="DE19" s="71"/>
      <c r="DF19" s="71"/>
      <c r="DG19" s="71"/>
      <c r="DH19" s="71"/>
      <c r="DI19" s="71"/>
      <c r="DJ19" s="71"/>
      <c r="DK19" s="71"/>
      <c r="DL19" s="71"/>
      <c r="DM19" s="71"/>
      <c r="DN19" s="72"/>
      <c r="DO19" s="76"/>
      <c r="DP19" s="77"/>
      <c r="DQ19" s="77"/>
      <c r="DR19" s="77"/>
      <c r="DS19" s="78"/>
    </row>
    <row r="20" spans="47:123" ht="6" customHeight="1" x14ac:dyDescent="0.35">
      <c r="AU20" s="201"/>
      <c r="AV20" s="202"/>
      <c r="AW20" s="202"/>
      <c r="AX20" s="202"/>
      <c r="AY20" s="202"/>
      <c r="AZ20" s="202"/>
      <c r="BA20" s="202"/>
      <c r="BB20" s="202"/>
      <c r="BC20" s="202"/>
      <c r="BD20" s="240"/>
      <c r="BE20" s="240"/>
      <c r="BF20" s="240"/>
      <c r="BG20" s="240"/>
      <c r="BH20" s="240"/>
      <c r="BI20" s="240"/>
      <c r="BJ20" s="240"/>
      <c r="BK20" s="240"/>
      <c r="BL20" s="240"/>
      <c r="BM20" s="198"/>
      <c r="BN20" s="198"/>
      <c r="BO20" s="198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222"/>
      <c r="CF20" s="73"/>
      <c r="CG20" s="74"/>
      <c r="CH20" s="74"/>
      <c r="CI20" s="74"/>
      <c r="CJ20" s="74"/>
      <c r="CK20" s="74"/>
      <c r="CL20" s="74"/>
      <c r="CM20" s="74"/>
      <c r="CN20" s="74"/>
      <c r="CO20" s="74"/>
      <c r="CP20" s="74"/>
      <c r="CQ20" s="74"/>
      <c r="CR20" s="74"/>
      <c r="CS20" s="74"/>
      <c r="CT20" s="74"/>
      <c r="CU20" s="74"/>
      <c r="CV20" s="74"/>
      <c r="CW20" s="74"/>
      <c r="CX20" s="74"/>
      <c r="CY20" s="74"/>
      <c r="CZ20" s="74"/>
      <c r="DA20" s="74"/>
      <c r="DB20" s="74"/>
      <c r="DC20" s="74"/>
      <c r="DD20" s="74"/>
      <c r="DE20" s="74"/>
      <c r="DF20" s="74"/>
      <c r="DG20" s="74"/>
      <c r="DH20" s="74"/>
      <c r="DI20" s="74"/>
      <c r="DJ20" s="74"/>
      <c r="DK20" s="74"/>
      <c r="DL20" s="74"/>
      <c r="DM20" s="74"/>
      <c r="DN20" s="75"/>
      <c r="DO20" s="79"/>
      <c r="DP20" s="80"/>
      <c r="DQ20" s="80"/>
      <c r="DR20" s="80"/>
      <c r="DS20" s="81"/>
    </row>
    <row r="21" spans="47:123" ht="6" customHeight="1" x14ac:dyDescent="0.35">
      <c r="AU21" s="195" t="s">
        <v>11</v>
      </c>
      <c r="AV21" s="196"/>
      <c r="AW21" s="196"/>
      <c r="AX21" s="196"/>
      <c r="AY21" s="196"/>
      <c r="AZ21" s="196"/>
      <c r="BA21" s="196"/>
      <c r="BB21" s="196"/>
      <c r="BC21" s="196"/>
      <c r="BV21" s="223" t="s">
        <v>12</v>
      </c>
      <c r="BW21" s="224"/>
      <c r="BX21" s="224"/>
      <c r="BY21" s="224"/>
      <c r="BZ21" s="224"/>
      <c r="CA21" s="224"/>
      <c r="CB21" s="224"/>
      <c r="CC21" s="224"/>
      <c r="CD21" s="224"/>
      <c r="CF21" s="70"/>
      <c r="CG21" s="71"/>
      <c r="CH21" s="71"/>
      <c r="CI21" s="71"/>
      <c r="CJ21" s="71"/>
      <c r="CK21" s="71"/>
      <c r="CL21" s="71"/>
      <c r="CM21" s="71"/>
      <c r="CN21" s="71"/>
      <c r="CO21" s="71"/>
      <c r="CP21" s="71"/>
      <c r="CQ21" s="71"/>
      <c r="CR21" s="71"/>
      <c r="CS21" s="71"/>
      <c r="CT21" s="71"/>
      <c r="CU21" s="71"/>
      <c r="CV21" s="71"/>
      <c r="CW21" s="71"/>
      <c r="CX21" s="71"/>
      <c r="CY21" s="71"/>
      <c r="CZ21" s="71"/>
      <c r="DA21" s="71"/>
      <c r="DB21" s="71"/>
      <c r="DC21" s="71"/>
      <c r="DD21" s="71"/>
      <c r="DE21" s="71"/>
      <c r="DF21" s="71"/>
      <c r="DG21" s="71"/>
      <c r="DH21" s="71"/>
      <c r="DI21" s="71"/>
      <c r="DJ21" s="71"/>
      <c r="DK21" s="71"/>
      <c r="DL21" s="71"/>
      <c r="DM21" s="71"/>
      <c r="DN21" s="72"/>
      <c r="DO21" s="76"/>
      <c r="DP21" s="77"/>
      <c r="DQ21" s="77"/>
      <c r="DR21" s="77"/>
      <c r="DS21" s="78"/>
    </row>
    <row r="22" spans="47:123" ht="6" customHeight="1" x14ac:dyDescent="0.35">
      <c r="AU22" s="196"/>
      <c r="AV22" s="196"/>
      <c r="AW22" s="196"/>
      <c r="AX22" s="196"/>
      <c r="AY22" s="196"/>
      <c r="AZ22" s="196"/>
      <c r="BA22" s="196"/>
      <c r="BB22" s="196"/>
      <c r="BC22" s="196"/>
      <c r="BD22" s="217" t="s">
        <v>8</v>
      </c>
      <c r="BE22" s="217"/>
      <c r="BF22" s="217"/>
      <c r="BG22" s="217"/>
      <c r="BH22" s="217"/>
      <c r="BI22" s="217"/>
      <c r="BJ22" s="217"/>
      <c r="BK22" s="217"/>
      <c r="BL22" s="217"/>
      <c r="BM22" s="217"/>
      <c r="BN22" s="217"/>
      <c r="BO22" s="217"/>
      <c r="BP22" s="219" t="s">
        <v>19</v>
      </c>
      <c r="BQ22" s="220"/>
      <c r="BR22" s="175">
        <f>2*(ROUNDUP(MAX(AU7,BZ7),0)+1)</f>
        <v>2</v>
      </c>
      <c r="BS22" s="175"/>
      <c r="BT22" s="175"/>
      <c r="BU22" s="175"/>
      <c r="BV22" s="224"/>
      <c r="BW22" s="224"/>
      <c r="BX22" s="224"/>
      <c r="BY22" s="224"/>
      <c r="BZ22" s="224"/>
      <c r="CA22" s="224"/>
      <c r="CB22" s="224"/>
      <c r="CC22" s="224"/>
      <c r="CD22" s="224"/>
      <c r="CF22" s="73"/>
      <c r="CG22" s="74"/>
      <c r="CH22" s="74"/>
      <c r="CI22" s="74"/>
      <c r="CJ22" s="74"/>
      <c r="CK22" s="74"/>
      <c r="CL22" s="74"/>
      <c r="CM22" s="74"/>
      <c r="CN22" s="74"/>
      <c r="CO22" s="74"/>
      <c r="CP22" s="74"/>
      <c r="CQ22" s="74"/>
      <c r="CR22" s="74"/>
      <c r="CS22" s="74"/>
      <c r="CT22" s="74"/>
      <c r="CU22" s="74"/>
      <c r="CV22" s="74"/>
      <c r="CW22" s="74"/>
      <c r="CX22" s="74"/>
      <c r="CY22" s="74"/>
      <c r="CZ22" s="74"/>
      <c r="DA22" s="74"/>
      <c r="DB22" s="74"/>
      <c r="DC22" s="74"/>
      <c r="DD22" s="74"/>
      <c r="DE22" s="74"/>
      <c r="DF22" s="74"/>
      <c r="DG22" s="74"/>
      <c r="DH22" s="74"/>
      <c r="DI22" s="74"/>
      <c r="DJ22" s="74"/>
      <c r="DK22" s="74"/>
      <c r="DL22" s="74"/>
      <c r="DM22" s="74"/>
      <c r="DN22" s="75"/>
      <c r="DO22" s="79"/>
      <c r="DP22" s="80"/>
      <c r="DQ22" s="80"/>
      <c r="DR22" s="80"/>
      <c r="DS22" s="81"/>
    </row>
    <row r="23" spans="47:123" ht="6" customHeight="1" x14ac:dyDescent="0.35">
      <c r="AU23" s="196"/>
      <c r="AV23" s="196"/>
      <c r="AW23" s="196"/>
      <c r="AX23" s="196"/>
      <c r="AY23" s="196"/>
      <c r="AZ23" s="196"/>
      <c r="BA23" s="196"/>
      <c r="BB23" s="196"/>
      <c r="BC23" s="196"/>
      <c r="BD23" s="217"/>
      <c r="BE23" s="217"/>
      <c r="BF23" s="217"/>
      <c r="BG23" s="217"/>
      <c r="BH23" s="217"/>
      <c r="BI23" s="217"/>
      <c r="BJ23" s="217"/>
      <c r="BK23" s="217"/>
      <c r="BL23" s="217"/>
      <c r="BM23" s="217"/>
      <c r="BN23" s="217"/>
      <c r="BO23" s="217"/>
      <c r="BP23" s="219"/>
      <c r="BQ23" s="220"/>
      <c r="BR23" s="175"/>
      <c r="BS23" s="175"/>
      <c r="BT23" s="175"/>
      <c r="BU23" s="175"/>
      <c r="BV23" s="224"/>
      <c r="BW23" s="224"/>
      <c r="BX23" s="224"/>
      <c r="BY23" s="224"/>
      <c r="BZ23" s="224"/>
      <c r="CA23" s="224"/>
      <c r="CB23" s="224"/>
      <c r="CC23" s="224"/>
      <c r="CD23" s="224"/>
      <c r="CF23" s="70"/>
      <c r="CG23" s="71"/>
      <c r="CH23" s="71"/>
      <c r="CI23" s="71"/>
      <c r="CJ23" s="71"/>
      <c r="CK23" s="71"/>
      <c r="CL23" s="71"/>
      <c r="CM23" s="71"/>
      <c r="CN23" s="71"/>
      <c r="CO23" s="71"/>
      <c r="CP23" s="71"/>
      <c r="CQ23" s="71"/>
      <c r="CR23" s="71"/>
      <c r="CS23" s="71"/>
      <c r="CT23" s="71"/>
      <c r="CU23" s="71"/>
      <c r="CV23" s="71"/>
      <c r="CW23" s="71"/>
      <c r="CX23" s="71"/>
      <c r="CY23" s="71"/>
      <c r="CZ23" s="71"/>
      <c r="DA23" s="71"/>
      <c r="DB23" s="71"/>
      <c r="DC23" s="71"/>
      <c r="DD23" s="71"/>
      <c r="DE23" s="71"/>
      <c r="DF23" s="71"/>
      <c r="DG23" s="71"/>
      <c r="DH23" s="71"/>
      <c r="DI23" s="71"/>
      <c r="DJ23" s="71"/>
      <c r="DK23" s="71"/>
      <c r="DL23" s="71"/>
      <c r="DM23" s="71"/>
      <c r="DN23" s="72"/>
      <c r="DO23" s="76"/>
      <c r="DP23" s="77"/>
      <c r="DQ23" s="77"/>
      <c r="DR23" s="77"/>
      <c r="DS23" s="78"/>
    </row>
    <row r="24" spans="47:123" ht="6" customHeight="1" x14ac:dyDescent="0.35">
      <c r="AU24" s="196"/>
      <c r="AV24" s="196"/>
      <c r="AW24" s="196"/>
      <c r="AX24" s="196"/>
      <c r="AY24" s="196"/>
      <c r="AZ24" s="196"/>
      <c r="BA24" s="196"/>
      <c r="BB24" s="196"/>
      <c r="BC24" s="196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20"/>
      <c r="BQ24" s="220"/>
      <c r="BR24" s="175"/>
      <c r="BS24" s="175"/>
      <c r="BT24" s="175"/>
      <c r="BU24" s="175"/>
      <c r="BV24" s="224"/>
      <c r="BW24" s="224"/>
      <c r="BX24" s="224"/>
      <c r="BY24" s="224"/>
      <c r="BZ24" s="224"/>
      <c r="CA24" s="224"/>
      <c r="CB24" s="224"/>
      <c r="CC24" s="224"/>
      <c r="CD24" s="224"/>
      <c r="CF24" s="73"/>
      <c r="CG24" s="74"/>
      <c r="CH24" s="74"/>
      <c r="CI24" s="74"/>
      <c r="CJ24" s="74"/>
      <c r="CK24" s="74"/>
      <c r="CL24" s="74"/>
      <c r="CM24" s="74"/>
      <c r="CN24" s="74"/>
      <c r="CO24" s="74"/>
      <c r="CP24" s="74"/>
      <c r="CQ24" s="74"/>
      <c r="CR24" s="74"/>
      <c r="CS24" s="74"/>
      <c r="CT24" s="74"/>
      <c r="CU24" s="74"/>
      <c r="CV24" s="74"/>
      <c r="CW24" s="74"/>
      <c r="CX24" s="74"/>
      <c r="CY24" s="74"/>
      <c r="CZ24" s="74"/>
      <c r="DA24" s="74"/>
      <c r="DB24" s="74"/>
      <c r="DC24" s="74"/>
      <c r="DD24" s="74"/>
      <c r="DE24" s="74"/>
      <c r="DF24" s="74"/>
      <c r="DG24" s="74"/>
      <c r="DH24" s="74"/>
      <c r="DI24" s="74"/>
      <c r="DJ24" s="74"/>
      <c r="DK24" s="74"/>
      <c r="DL24" s="74"/>
      <c r="DM24" s="74"/>
      <c r="DN24" s="75"/>
      <c r="DO24" s="79"/>
      <c r="DP24" s="80"/>
      <c r="DQ24" s="80"/>
      <c r="DR24" s="80"/>
      <c r="DS24" s="81"/>
    </row>
    <row r="25" spans="47:123" ht="6" customHeight="1" x14ac:dyDescent="0.35">
      <c r="AU25" s="196"/>
      <c r="AV25" s="196"/>
      <c r="AW25" s="196"/>
      <c r="AX25" s="196"/>
      <c r="AY25" s="196"/>
      <c r="AZ25" s="196"/>
      <c r="BA25" s="196"/>
      <c r="BB25" s="196"/>
      <c r="BC25" s="196"/>
      <c r="BD25" s="169"/>
      <c r="BE25" s="169"/>
      <c r="BF25" s="169"/>
      <c r="BG25" s="169"/>
      <c r="BH25" s="169"/>
      <c r="BI25" s="169"/>
      <c r="BJ25" s="169"/>
      <c r="BK25" s="169"/>
      <c r="BL25" s="169"/>
      <c r="BM25" s="169"/>
      <c r="BN25" s="169"/>
      <c r="BO25" s="169"/>
      <c r="BP25" s="169"/>
      <c r="BQ25" s="169"/>
      <c r="BR25" s="169"/>
      <c r="BS25" s="169"/>
      <c r="BT25" s="169"/>
      <c r="BU25" s="169"/>
      <c r="BV25" s="224"/>
      <c r="BW25" s="224"/>
      <c r="BX25" s="224"/>
      <c r="BY25" s="224"/>
      <c r="BZ25" s="224"/>
      <c r="CA25" s="224"/>
      <c r="CB25" s="224"/>
      <c r="CC25" s="224"/>
      <c r="CD25" s="224"/>
      <c r="CF25" s="70"/>
      <c r="CG25" s="71"/>
      <c r="CH25" s="71"/>
      <c r="CI25" s="71"/>
      <c r="CJ25" s="71"/>
      <c r="CK25" s="71"/>
      <c r="CL25" s="71"/>
      <c r="CM25" s="71"/>
      <c r="CN25" s="71"/>
      <c r="CO25" s="71"/>
      <c r="CP25" s="71"/>
      <c r="CQ25" s="71"/>
      <c r="CR25" s="71"/>
      <c r="CS25" s="71"/>
      <c r="CT25" s="71"/>
      <c r="CU25" s="71"/>
      <c r="CV25" s="71"/>
      <c r="CW25" s="71"/>
      <c r="CX25" s="71"/>
      <c r="CY25" s="71"/>
      <c r="CZ25" s="71"/>
      <c r="DA25" s="71"/>
      <c r="DB25" s="71"/>
      <c r="DC25" s="71"/>
      <c r="DD25" s="71"/>
      <c r="DE25" s="71"/>
      <c r="DF25" s="71"/>
      <c r="DG25" s="71"/>
      <c r="DH25" s="71"/>
      <c r="DI25" s="71"/>
      <c r="DJ25" s="71"/>
      <c r="DK25" s="71"/>
      <c r="DL25" s="71"/>
      <c r="DM25" s="71"/>
      <c r="DN25" s="72"/>
      <c r="DO25" s="76"/>
      <c r="DP25" s="77"/>
      <c r="DQ25" s="77"/>
      <c r="DR25" s="77"/>
      <c r="DS25" s="78"/>
    </row>
    <row r="26" spans="47:123" ht="6" customHeight="1" x14ac:dyDescent="0.35">
      <c r="AU26" s="196"/>
      <c r="AV26" s="196"/>
      <c r="AW26" s="196"/>
      <c r="AX26" s="196"/>
      <c r="AY26" s="196"/>
      <c r="AZ26" s="196"/>
      <c r="BA26" s="196"/>
      <c r="BB26" s="196"/>
      <c r="BC26" s="196"/>
      <c r="BD26" s="169"/>
      <c r="BE26" s="169"/>
      <c r="BF26" s="169"/>
      <c r="BG26" s="169"/>
      <c r="BH26" s="169"/>
      <c r="BI26" s="169"/>
      <c r="BJ26" s="169"/>
      <c r="BK26" s="169"/>
      <c r="BL26" s="169"/>
      <c r="BM26" s="169"/>
      <c r="BN26" s="169"/>
      <c r="BO26" s="169"/>
      <c r="BP26" s="169"/>
      <c r="BQ26" s="169"/>
      <c r="BR26" s="169"/>
      <c r="BS26" s="169"/>
      <c r="BT26" s="169"/>
      <c r="BU26" s="169"/>
      <c r="BV26" s="224"/>
      <c r="BW26" s="224"/>
      <c r="BX26" s="224"/>
      <c r="BY26" s="224"/>
      <c r="BZ26" s="224"/>
      <c r="CA26" s="224"/>
      <c r="CB26" s="224"/>
      <c r="CC26" s="224"/>
      <c r="CD26" s="224"/>
      <c r="CF26" s="73"/>
      <c r="CG26" s="74"/>
      <c r="CH26" s="74"/>
      <c r="CI26" s="74"/>
      <c r="CJ26" s="74"/>
      <c r="CK26" s="74"/>
      <c r="CL26" s="74"/>
      <c r="CM26" s="74"/>
      <c r="CN26" s="74"/>
      <c r="CO26" s="74"/>
      <c r="CP26" s="74"/>
      <c r="CQ26" s="74"/>
      <c r="CR26" s="74"/>
      <c r="CS26" s="74"/>
      <c r="CT26" s="74"/>
      <c r="CU26" s="74"/>
      <c r="CV26" s="74"/>
      <c r="CW26" s="74"/>
      <c r="CX26" s="74"/>
      <c r="CY26" s="74"/>
      <c r="CZ26" s="74"/>
      <c r="DA26" s="74"/>
      <c r="DB26" s="74"/>
      <c r="DC26" s="74"/>
      <c r="DD26" s="74"/>
      <c r="DE26" s="74"/>
      <c r="DF26" s="74"/>
      <c r="DG26" s="74"/>
      <c r="DH26" s="74"/>
      <c r="DI26" s="74"/>
      <c r="DJ26" s="74"/>
      <c r="DK26" s="74"/>
      <c r="DL26" s="74"/>
      <c r="DM26" s="74"/>
      <c r="DN26" s="75"/>
      <c r="DO26" s="79"/>
      <c r="DP26" s="80"/>
      <c r="DQ26" s="80"/>
      <c r="DR26" s="80"/>
      <c r="DS26" s="81"/>
    </row>
    <row r="27" spans="47:123" ht="6" customHeight="1" x14ac:dyDescent="0.35">
      <c r="AU27" s="231" t="s">
        <v>12</v>
      </c>
      <c r="AV27" s="232"/>
      <c r="AW27" s="232"/>
      <c r="AX27" s="232"/>
      <c r="AY27" s="232"/>
      <c r="AZ27" s="232"/>
      <c r="BA27" s="232"/>
      <c r="BB27" s="232"/>
      <c r="BC27" s="232"/>
      <c r="BD27" s="169"/>
      <c r="BE27" s="169"/>
      <c r="BF27" s="169"/>
      <c r="BG27" s="169"/>
      <c r="BH27" s="169"/>
      <c r="BI27" s="169"/>
      <c r="BJ27" s="169"/>
      <c r="BK27" s="169"/>
      <c r="BL27" s="169"/>
      <c r="BM27" s="169"/>
      <c r="BN27" s="169"/>
      <c r="BO27" s="169"/>
      <c r="BP27" s="169"/>
      <c r="BQ27" s="169"/>
      <c r="BR27" s="169"/>
      <c r="BS27" s="169"/>
      <c r="BT27" s="169"/>
      <c r="BU27" s="169"/>
      <c r="BV27" s="223" t="s">
        <v>11</v>
      </c>
      <c r="BW27" s="224"/>
      <c r="BX27" s="224"/>
      <c r="BY27" s="224"/>
      <c r="BZ27" s="224"/>
      <c r="CA27" s="224"/>
      <c r="CB27" s="224"/>
      <c r="CC27" s="224"/>
      <c r="CD27" s="224"/>
      <c r="CF27" s="70"/>
      <c r="CG27" s="71"/>
      <c r="CH27" s="71"/>
      <c r="CI27" s="71"/>
      <c r="CJ27" s="71"/>
      <c r="CK27" s="71"/>
      <c r="CL27" s="71"/>
      <c r="CM27" s="71"/>
      <c r="CN27" s="71"/>
      <c r="CO27" s="71"/>
      <c r="CP27" s="71"/>
      <c r="CQ27" s="71"/>
      <c r="CR27" s="71"/>
      <c r="CS27" s="71"/>
      <c r="CT27" s="71"/>
      <c r="CU27" s="71"/>
      <c r="CV27" s="71"/>
      <c r="CW27" s="71"/>
      <c r="CX27" s="71"/>
      <c r="CY27" s="71"/>
      <c r="CZ27" s="71"/>
      <c r="DA27" s="71"/>
      <c r="DB27" s="71"/>
      <c r="DC27" s="71"/>
      <c r="DD27" s="71"/>
      <c r="DE27" s="71"/>
      <c r="DF27" s="71"/>
      <c r="DG27" s="71"/>
      <c r="DH27" s="71"/>
      <c r="DI27" s="71"/>
      <c r="DJ27" s="71"/>
      <c r="DK27" s="71"/>
      <c r="DL27" s="71"/>
      <c r="DM27" s="71"/>
      <c r="DN27" s="72"/>
      <c r="DO27" s="76"/>
      <c r="DP27" s="77"/>
      <c r="DQ27" s="77"/>
      <c r="DR27" s="77"/>
      <c r="DS27" s="78"/>
    </row>
    <row r="28" spans="47:123" ht="6" customHeight="1" x14ac:dyDescent="0.35">
      <c r="AU28" s="232"/>
      <c r="AV28" s="232"/>
      <c r="AW28" s="232"/>
      <c r="AX28" s="232"/>
      <c r="AY28" s="232"/>
      <c r="AZ28" s="232"/>
      <c r="BA28" s="232"/>
      <c r="BB28" s="232"/>
      <c r="BC28" s="232"/>
      <c r="BD28" s="169"/>
      <c r="BE28" s="169"/>
      <c r="BF28" s="169"/>
      <c r="BG28" s="169"/>
      <c r="BH28" s="169"/>
      <c r="BI28" s="169"/>
      <c r="BJ28" s="169"/>
      <c r="BK28" s="169"/>
      <c r="BL28" s="169"/>
      <c r="BM28" s="169"/>
      <c r="BN28" s="169"/>
      <c r="BO28" s="169"/>
      <c r="BP28" s="169"/>
      <c r="BQ28" s="169"/>
      <c r="BR28" s="169"/>
      <c r="BS28" s="169"/>
      <c r="BT28" s="169"/>
      <c r="BU28" s="169"/>
      <c r="BV28" s="224"/>
      <c r="BW28" s="224"/>
      <c r="BX28" s="224"/>
      <c r="BY28" s="224"/>
      <c r="BZ28" s="224"/>
      <c r="CA28" s="224"/>
      <c r="CB28" s="224"/>
      <c r="CC28" s="224"/>
      <c r="CD28" s="224"/>
      <c r="CF28" s="73"/>
      <c r="CG28" s="74"/>
      <c r="CH28" s="74"/>
      <c r="CI28" s="74"/>
      <c r="CJ28" s="74"/>
      <c r="CK28" s="74"/>
      <c r="CL28" s="74"/>
      <c r="CM28" s="74"/>
      <c r="CN28" s="74"/>
      <c r="CO28" s="74"/>
      <c r="CP28" s="74"/>
      <c r="CQ28" s="74"/>
      <c r="CR28" s="74"/>
      <c r="CS28" s="74"/>
      <c r="CT28" s="74"/>
      <c r="CU28" s="74"/>
      <c r="CV28" s="74"/>
      <c r="CW28" s="74"/>
      <c r="CX28" s="74"/>
      <c r="CY28" s="74"/>
      <c r="CZ28" s="74"/>
      <c r="DA28" s="74"/>
      <c r="DB28" s="74"/>
      <c r="DC28" s="74"/>
      <c r="DD28" s="74"/>
      <c r="DE28" s="74"/>
      <c r="DF28" s="74"/>
      <c r="DG28" s="74"/>
      <c r="DH28" s="74"/>
      <c r="DI28" s="74"/>
      <c r="DJ28" s="74"/>
      <c r="DK28" s="74"/>
      <c r="DL28" s="74"/>
      <c r="DM28" s="74"/>
      <c r="DN28" s="75"/>
      <c r="DO28" s="79"/>
      <c r="DP28" s="80"/>
      <c r="DQ28" s="80"/>
      <c r="DR28" s="80"/>
      <c r="DS28" s="81"/>
    </row>
    <row r="29" spans="47:123" ht="6" customHeight="1" x14ac:dyDescent="0.35">
      <c r="AU29" s="232"/>
      <c r="AV29" s="232"/>
      <c r="AW29" s="232"/>
      <c r="AX29" s="232"/>
      <c r="AY29" s="232"/>
      <c r="AZ29" s="232"/>
      <c r="BA29" s="232"/>
      <c r="BB29" s="232"/>
      <c r="BC29" s="232"/>
      <c r="BD29" s="169"/>
      <c r="BE29" s="169"/>
      <c r="BF29" s="169"/>
      <c r="BG29" s="169"/>
      <c r="BH29" s="169"/>
      <c r="BI29" s="169"/>
      <c r="BJ29" s="169"/>
      <c r="BK29" s="169"/>
      <c r="BL29" s="169"/>
      <c r="BM29" s="169"/>
      <c r="BN29" s="169"/>
      <c r="BO29" s="169"/>
      <c r="BP29" s="169"/>
      <c r="BQ29" s="169"/>
      <c r="BR29" s="169"/>
      <c r="BS29" s="169"/>
      <c r="BT29" s="169"/>
      <c r="BU29" s="169"/>
      <c r="BV29" s="224"/>
      <c r="BW29" s="224"/>
      <c r="BX29" s="224"/>
      <c r="BY29" s="224"/>
      <c r="BZ29" s="224"/>
      <c r="CA29" s="224"/>
      <c r="CB29" s="224"/>
      <c r="CC29" s="224"/>
      <c r="CD29" s="224"/>
      <c r="CF29" s="70"/>
      <c r="CG29" s="71"/>
      <c r="CH29" s="71"/>
      <c r="CI29" s="71"/>
      <c r="CJ29" s="71"/>
      <c r="CK29" s="71"/>
      <c r="CL29" s="71"/>
      <c r="CM29" s="71"/>
      <c r="CN29" s="71"/>
      <c r="CO29" s="71"/>
      <c r="CP29" s="71"/>
      <c r="CQ29" s="71"/>
      <c r="CR29" s="71"/>
      <c r="CS29" s="71"/>
      <c r="CT29" s="71"/>
      <c r="CU29" s="71"/>
      <c r="CV29" s="71"/>
      <c r="CW29" s="71"/>
      <c r="CX29" s="71"/>
      <c r="CY29" s="71"/>
      <c r="CZ29" s="71"/>
      <c r="DA29" s="71"/>
      <c r="DB29" s="71"/>
      <c r="DC29" s="71"/>
      <c r="DD29" s="71"/>
      <c r="DE29" s="71"/>
      <c r="DF29" s="71"/>
      <c r="DG29" s="71"/>
      <c r="DH29" s="71"/>
      <c r="DI29" s="71"/>
      <c r="DJ29" s="71"/>
      <c r="DK29" s="71"/>
      <c r="DL29" s="71"/>
      <c r="DM29" s="71"/>
      <c r="DN29" s="72"/>
      <c r="DO29" s="76"/>
      <c r="DP29" s="77"/>
      <c r="DQ29" s="77"/>
      <c r="DR29" s="77"/>
      <c r="DS29" s="78"/>
    </row>
    <row r="30" spans="47:123" ht="6" customHeight="1" x14ac:dyDescent="0.35">
      <c r="AU30" s="232"/>
      <c r="AV30" s="232"/>
      <c r="AW30" s="232"/>
      <c r="AX30" s="232"/>
      <c r="AY30" s="232"/>
      <c r="AZ30" s="232"/>
      <c r="BA30" s="232"/>
      <c r="BB30" s="232"/>
      <c r="BC30" s="232"/>
      <c r="BD30" s="225" t="s">
        <v>9</v>
      </c>
      <c r="BE30" s="226"/>
      <c r="BF30" s="226"/>
      <c r="BG30" s="226"/>
      <c r="BH30" s="226"/>
      <c r="BI30" s="226"/>
      <c r="BJ30" s="226"/>
      <c r="BK30" s="226"/>
      <c r="BL30" s="227"/>
      <c r="BM30" s="225" t="s">
        <v>10</v>
      </c>
      <c r="BN30" s="226"/>
      <c r="BO30" s="226"/>
      <c r="BP30" s="226"/>
      <c r="BQ30" s="226"/>
      <c r="BR30" s="226"/>
      <c r="BS30" s="226"/>
      <c r="BT30" s="226"/>
      <c r="BU30" s="227"/>
      <c r="BV30" s="224"/>
      <c r="BW30" s="224"/>
      <c r="BX30" s="224"/>
      <c r="BY30" s="224"/>
      <c r="BZ30" s="224"/>
      <c r="CA30" s="224"/>
      <c r="CB30" s="224"/>
      <c r="CC30" s="224"/>
      <c r="CD30" s="224"/>
      <c r="CF30" s="73"/>
      <c r="CG30" s="74"/>
      <c r="CH30" s="74"/>
      <c r="CI30" s="74"/>
      <c r="CJ30" s="74"/>
      <c r="CK30" s="74"/>
      <c r="CL30" s="74"/>
      <c r="CM30" s="74"/>
      <c r="CN30" s="74"/>
      <c r="CO30" s="74"/>
      <c r="CP30" s="74"/>
      <c r="CQ30" s="74"/>
      <c r="CR30" s="74"/>
      <c r="CS30" s="74"/>
      <c r="CT30" s="74"/>
      <c r="CU30" s="74"/>
      <c r="CV30" s="74"/>
      <c r="CW30" s="74"/>
      <c r="CX30" s="74"/>
      <c r="CY30" s="74"/>
      <c r="CZ30" s="74"/>
      <c r="DA30" s="74"/>
      <c r="DB30" s="74"/>
      <c r="DC30" s="74"/>
      <c r="DD30" s="74"/>
      <c r="DE30" s="74"/>
      <c r="DF30" s="74"/>
      <c r="DG30" s="74"/>
      <c r="DH30" s="74"/>
      <c r="DI30" s="74"/>
      <c r="DJ30" s="74"/>
      <c r="DK30" s="74"/>
      <c r="DL30" s="74"/>
      <c r="DM30" s="74"/>
      <c r="DN30" s="75"/>
      <c r="DO30" s="79"/>
      <c r="DP30" s="80"/>
      <c r="DQ30" s="80"/>
      <c r="DR30" s="80"/>
      <c r="DS30" s="81"/>
    </row>
    <row r="31" spans="47:123" ht="6" customHeight="1" x14ac:dyDescent="0.35">
      <c r="AU31" s="232"/>
      <c r="AV31" s="232"/>
      <c r="AW31" s="232"/>
      <c r="AX31" s="232"/>
      <c r="AY31" s="232"/>
      <c r="AZ31" s="232"/>
      <c r="BA31" s="232"/>
      <c r="BB31" s="232"/>
      <c r="BC31" s="232"/>
      <c r="BD31" s="228"/>
      <c r="BE31" s="229"/>
      <c r="BF31" s="229"/>
      <c r="BG31" s="229"/>
      <c r="BH31" s="229"/>
      <c r="BI31" s="229"/>
      <c r="BJ31" s="229"/>
      <c r="BK31" s="229"/>
      <c r="BL31" s="230"/>
      <c r="BM31" s="228"/>
      <c r="BN31" s="229"/>
      <c r="BO31" s="229"/>
      <c r="BP31" s="229"/>
      <c r="BQ31" s="229"/>
      <c r="BR31" s="229"/>
      <c r="BS31" s="229"/>
      <c r="BT31" s="229"/>
      <c r="BU31" s="230"/>
      <c r="BV31" s="224"/>
      <c r="BW31" s="224"/>
      <c r="BX31" s="224"/>
      <c r="BY31" s="224"/>
      <c r="BZ31" s="224"/>
      <c r="CA31" s="224"/>
      <c r="CB31" s="224"/>
      <c r="CC31" s="224"/>
      <c r="CD31" s="224"/>
      <c r="CF31" s="70"/>
      <c r="CG31" s="71"/>
      <c r="CH31" s="71"/>
      <c r="CI31" s="71"/>
      <c r="CJ31" s="71"/>
      <c r="CK31" s="71"/>
      <c r="CL31" s="71"/>
      <c r="CM31" s="71"/>
      <c r="CN31" s="71"/>
      <c r="CO31" s="71"/>
      <c r="CP31" s="71"/>
      <c r="CQ31" s="71"/>
      <c r="CR31" s="71"/>
      <c r="CS31" s="71"/>
      <c r="CT31" s="71"/>
      <c r="CU31" s="71"/>
      <c r="CV31" s="71"/>
      <c r="CW31" s="71"/>
      <c r="CX31" s="71"/>
      <c r="CY31" s="71"/>
      <c r="CZ31" s="71"/>
      <c r="DA31" s="71"/>
      <c r="DB31" s="71"/>
      <c r="DC31" s="71"/>
      <c r="DD31" s="71"/>
      <c r="DE31" s="71"/>
      <c r="DF31" s="71"/>
      <c r="DG31" s="71"/>
      <c r="DH31" s="71"/>
      <c r="DI31" s="71"/>
      <c r="DJ31" s="71"/>
      <c r="DK31" s="71"/>
      <c r="DL31" s="71"/>
      <c r="DM31" s="71"/>
      <c r="DN31" s="72"/>
      <c r="DO31" s="76"/>
      <c r="DP31" s="77"/>
      <c r="DQ31" s="77"/>
      <c r="DR31" s="77"/>
      <c r="DS31" s="78"/>
    </row>
    <row r="32" spans="47:123" ht="6" customHeight="1" x14ac:dyDescent="0.35">
      <c r="AU32" s="232"/>
      <c r="AV32" s="232"/>
      <c r="AW32" s="232"/>
      <c r="AX32" s="232"/>
      <c r="AY32" s="232"/>
      <c r="AZ32" s="232"/>
      <c r="BA32" s="232"/>
      <c r="BB32" s="232"/>
      <c r="BC32" s="232"/>
      <c r="BV32" s="224"/>
      <c r="BW32" s="224"/>
      <c r="BX32" s="224"/>
      <c r="BY32" s="224"/>
      <c r="BZ32" s="224"/>
      <c r="CA32" s="224"/>
      <c r="CB32" s="224"/>
      <c r="CC32" s="224"/>
      <c r="CD32" s="224"/>
      <c r="CF32" s="73"/>
      <c r="CG32" s="74"/>
      <c r="CH32" s="74"/>
      <c r="CI32" s="74"/>
      <c r="CJ32" s="74"/>
      <c r="CK32" s="74"/>
      <c r="CL32" s="74"/>
      <c r="CM32" s="74"/>
      <c r="CN32" s="74"/>
      <c r="CO32" s="74"/>
      <c r="CP32" s="74"/>
      <c r="CQ32" s="74"/>
      <c r="CR32" s="74"/>
      <c r="CS32" s="74"/>
      <c r="CT32" s="74"/>
      <c r="CU32" s="74"/>
      <c r="CV32" s="74"/>
      <c r="CW32" s="74"/>
      <c r="CX32" s="74"/>
      <c r="CY32" s="74"/>
      <c r="CZ32" s="74"/>
      <c r="DA32" s="74"/>
      <c r="DB32" s="74"/>
      <c r="DC32" s="74"/>
      <c r="DD32" s="74"/>
      <c r="DE32" s="74"/>
      <c r="DF32" s="74"/>
      <c r="DG32" s="74"/>
      <c r="DH32" s="74"/>
      <c r="DI32" s="74"/>
      <c r="DJ32" s="74"/>
      <c r="DK32" s="74"/>
      <c r="DL32" s="74"/>
      <c r="DM32" s="74"/>
      <c r="DN32" s="75"/>
      <c r="DO32" s="79"/>
      <c r="DP32" s="80"/>
      <c r="DQ32" s="80"/>
      <c r="DR32" s="80"/>
      <c r="DS32" s="81"/>
    </row>
    <row r="33" spans="47:123" ht="6" customHeight="1" x14ac:dyDescent="0.35">
      <c r="AU33" s="204" t="s">
        <v>13</v>
      </c>
      <c r="AV33" s="204"/>
      <c r="AW33" s="204"/>
      <c r="AX33" s="204"/>
      <c r="AY33" s="204"/>
      <c r="AZ33" s="204"/>
      <c r="BA33" s="204"/>
      <c r="BB33" s="204"/>
      <c r="BC33" s="204"/>
      <c r="BD33" s="204"/>
      <c r="BE33" s="204"/>
      <c r="BF33" s="204"/>
      <c r="BG33" s="206" t="s">
        <v>19</v>
      </c>
      <c r="BH33" s="207"/>
      <c r="BI33" s="175">
        <f>AU7+3</f>
        <v>3</v>
      </c>
      <c r="BJ33" s="175"/>
      <c r="BK33" s="175"/>
      <c r="BL33" s="175"/>
      <c r="BM33" s="208" t="s">
        <v>14</v>
      </c>
      <c r="BN33" s="208"/>
      <c r="BO33" s="208"/>
      <c r="BP33" s="208"/>
      <c r="BQ33" s="208"/>
      <c r="BR33" s="208"/>
      <c r="BS33" s="208"/>
      <c r="BT33" s="208"/>
      <c r="BU33" s="208"/>
      <c r="BV33" s="208"/>
      <c r="BW33" s="208"/>
      <c r="BX33" s="208"/>
      <c r="BY33" s="173" t="s">
        <v>19</v>
      </c>
      <c r="BZ33" s="173"/>
      <c r="CA33" s="175">
        <f>BZ7+3</f>
        <v>3</v>
      </c>
      <c r="CB33" s="175"/>
      <c r="CC33" s="175"/>
      <c r="CD33" s="175"/>
      <c r="CF33" s="70"/>
      <c r="CG33" s="71"/>
      <c r="CH33" s="71"/>
      <c r="CI33" s="71"/>
      <c r="CJ33" s="71"/>
      <c r="CK33" s="71"/>
      <c r="CL33" s="71"/>
      <c r="CM33" s="71"/>
      <c r="CN33" s="71"/>
      <c r="CO33" s="71"/>
      <c r="CP33" s="71"/>
      <c r="CQ33" s="71"/>
      <c r="CR33" s="71"/>
      <c r="CS33" s="71"/>
      <c r="CT33" s="71"/>
      <c r="CU33" s="71"/>
      <c r="CV33" s="71"/>
      <c r="CW33" s="71"/>
      <c r="CX33" s="71"/>
      <c r="CY33" s="71"/>
      <c r="CZ33" s="71"/>
      <c r="DA33" s="71"/>
      <c r="DB33" s="71"/>
      <c r="DC33" s="71"/>
      <c r="DD33" s="71"/>
      <c r="DE33" s="71"/>
      <c r="DF33" s="71"/>
      <c r="DG33" s="71"/>
      <c r="DH33" s="71"/>
      <c r="DI33" s="71"/>
      <c r="DJ33" s="71"/>
      <c r="DK33" s="71"/>
      <c r="DL33" s="71"/>
      <c r="DM33" s="71"/>
      <c r="DN33" s="72"/>
      <c r="DO33" s="76"/>
      <c r="DP33" s="77"/>
      <c r="DQ33" s="77"/>
      <c r="DR33" s="77"/>
      <c r="DS33" s="78"/>
    </row>
    <row r="34" spans="47:123" ht="6" customHeight="1" x14ac:dyDescent="0.35">
      <c r="AU34" s="204"/>
      <c r="AV34" s="204"/>
      <c r="AW34" s="204"/>
      <c r="AX34" s="204"/>
      <c r="AY34" s="204"/>
      <c r="AZ34" s="204"/>
      <c r="BA34" s="204"/>
      <c r="BB34" s="204"/>
      <c r="BC34" s="204"/>
      <c r="BD34" s="204"/>
      <c r="BE34" s="204"/>
      <c r="BF34" s="204"/>
      <c r="BG34" s="206"/>
      <c r="BH34" s="207"/>
      <c r="BI34" s="175"/>
      <c r="BJ34" s="175"/>
      <c r="BK34" s="175"/>
      <c r="BL34" s="175"/>
      <c r="BM34" s="172"/>
      <c r="BN34" s="172"/>
      <c r="BO34" s="172"/>
      <c r="BP34" s="172"/>
      <c r="BQ34" s="172"/>
      <c r="BR34" s="172"/>
      <c r="BS34" s="172"/>
      <c r="BT34" s="172"/>
      <c r="BU34" s="172"/>
      <c r="BV34" s="172"/>
      <c r="BW34" s="172"/>
      <c r="BX34" s="172"/>
      <c r="BY34" s="174"/>
      <c r="BZ34" s="174"/>
      <c r="CA34" s="175"/>
      <c r="CB34" s="175"/>
      <c r="CC34" s="175"/>
      <c r="CD34" s="175"/>
      <c r="CF34" s="73"/>
      <c r="CG34" s="74"/>
      <c r="CH34" s="74"/>
      <c r="CI34" s="74"/>
      <c r="CJ34" s="74"/>
      <c r="CK34" s="74"/>
      <c r="CL34" s="74"/>
      <c r="CM34" s="74"/>
      <c r="CN34" s="74"/>
      <c r="CO34" s="74"/>
      <c r="CP34" s="74"/>
      <c r="CQ34" s="74"/>
      <c r="CR34" s="74"/>
      <c r="CS34" s="74"/>
      <c r="CT34" s="74"/>
      <c r="CU34" s="74"/>
      <c r="CV34" s="74"/>
      <c r="CW34" s="74"/>
      <c r="CX34" s="74"/>
      <c r="CY34" s="74"/>
      <c r="CZ34" s="74"/>
      <c r="DA34" s="74"/>
      <c r="DB34" s="74"/>
      <c r="DC34" s="74"/>
      <c r="DD34" s="74"/>
      <c r="DE34" s="74"/>
      <c r="DF34" s="74"/>
      <c r="DG34" s="74"/>
      <c r="DH34" s="74"/>
      <c r="DI34" s="74"/>
      <c r="DJ34" s="74"/>
      <c r="DK34" s="74"/>
      <c r="DL34" s="74"/>
      <c r="DM34" s="74"/>
      <c r="DN34" s="75"/>
      <c r="DO34" s="79"/>
      <c r="DP34" s="80"/>
      <c r="DQ34" s="80"/>
      <c r="DR34" s="80"/>
      <c r="DS34" s="81"/>
    </row>
    <row r="35" spans="47:123" ht="6" customHeight="1" x14ac:dyDescent="0.35">
      <c r="AU35" s="205"/>
      <c r="AV35" s="205"/>
      <c r="AW35" s="205"/>
      <c r="AX35" s="205"/>
      <c r="AY35" s="205"/>
      <c r="AZ35" s="205"/>
      <c r="BA35" s="205"/>
      <c r="BB35" s="205"/>
      <c r="BC35" s="205"/>
      <c r="BD35" s="205"/>
      <c r="BE35" s="205"/>
      <c r="BF35" s="205"/>
      <c r="BG35" s="207"/>
      <c r="BH35" s="207"/>
      <c r="BI35" s="175"/>
      <c r="BJ35" s="175"/>
      <c r="BK35" s="175"/>
      <c r="BL35" s="175"/>
      <c r="BM35" s="172"/>
      <c r="BN35" s="172"/>
      <c r="BO35" s="172"/>
      <c r="BP35" s="172"/>
      <c r="BQ35" s="172"/>
      <c r="BR35" s="172"/>
      <c r="BS35" s="172"/>
      <c r="BT35" s="172"/>
      <c r="BU35" s="172"/>
      <c r="BV35" s="172"/>
      <c r="BW35" s="172"/>
      <c r="BX35" s="172"/>
      <c r="BY35" s="174"/>
      <c r="BZ35" s="174"/>
      <c r="CA35" s="175"/>
      <c r="CB35" s="175"/>
      <c r="CC35" s="175"/>
      <c r="CD35" s="175"/>
      <c r="CF35" s="70"/>
      <c r="CG35" s="71"/>
      <c r="CH35" s="71"/>
      <c r="CI35" s="71"/>
      <c r="CJ35" s="71"/>
      <c r="CK35" s="71"/>
      <c r="CL35" s="71"/>
      <c r="CM35" s="71"/>
      <c r="CN35" s="71"/>
      <c r="CO35" s="71"/>
      <c r="CP35" s="71"/>
      <c r="CQ35" s="71"/>
      <c r="CR35" s="71"/>
      <c r="CS35" s="71"/>
      <c r="CT35" s="71"/>
      <c r="CU35" s="71"/>
      <c r="CV35" s="71"/>
      <c r="CW35" s="71"/>
      <c r="CX35" s="71"/>
      <c r="CY35" s="71"/>
      <c r="CZ35" s="71"/>
      <c r="DA35" s="71"/>
      <c r="DB35" s="71"/>
      <c r="DC35" s="71"/>
      <c r="DD35" s="71"/>
      <c r="DE35" s="71"/>
      <c r="DF35" s="71"/>
      <c r="DG35" s="71"/>
      <c r="DH35" s="71"/>
      <c r="DI35" s="71"/>
      <c r="DJ35" s="71"/>
      <c r="DK35" s="71"/>
      <c r="DL35" s="71"/>
      <c r="DM35" s="71"/>
      <c r="DN35" s="72"/>
      <c r="DO35" s="76"/>
      <c r="DP35" s="77"/>
      <c r="DQ35" s="77"/>
      <c r="DR35" s="77"/>
      <c r="DS35" s="78"/>
    </row>
    <row r="36" spans="47:123" ht="6" customHeight="1" x14ac:dyDescent="0.35">
      <c r="AU36" s="169"/>
      <c r="AV36" s="169"/>
      <c r="AW36" s="169"/>
      <c r="AX36" s="169"/>
      <c r="AY36" s="169"/>
      <c r="AZ36" s="169"/>
      <c r="BA36" s="169"/>
      <c r="BB36" s="169"/>
      <c r="BC36" s="169"/>
      <c r="BD36" s="169"/>
      <c r="BE36" s="169"/>
      <c r="BF36" s="169"/>
      <c r="BG36" s="169"/>
      <c r="BH36" s="169"/>
      <c r="BI36" s="169"/>
      <c r="BJ36" s="169"/>
      <c r="BK36" s="169"/>
      <c r="BL36" s="169"/>
      <c r="BM36" s="169"/>
      <c r="BN36" s="169"/>
      <c r="BO36" s="169"/>
      <c r="BP36" s="169"/>
      <c r="BQ36" s="169"/>
      <c r="BR36" s="169"/>
      <c r="BS36" s="169"/>
      <c r="BT36" s="169"/>
      <c r="BU36" s="169"/>
      <c r="BV36" s="169"/>
      <c r="BW36" s="169"/>
      <c r="BX36" s="169"/>
      <c r="BY36" s="169"/>
      <c r="BZ36" s="169"/>
      <c r="CA36" s="169"/>
      <c r="CB36" s="169"/>
      <c r="CC36" s="169"/>
      <c r="CD36" s="169"/>
      <c r="CF36" s="73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4"/>
      <c r="CX36" s="74"/>
      <c r="CY36" s="74"/>
      <c r="CZ36" s="74"/>
      <c r="DA36" s="74"/>
      <c r="DB36" s="74"/>
      <c r="DC36" s="74"/>
      <c r="DD36" s="74"/>
      <c r="DE36" s="74"/>
      <c r="DF36" s="74"/>
      <c r="DG36" s="74"/>
      <c r="DH36" s="74"/>
      <c r="DI36" s="74"/>
      <c r="DJ36" s="74"/>
      <c r="DK36" s="74"/>
      <c r="DL36" s="74"/>
      <c r="DM36" s="74"/>
      <c r="DN36" s="75"/>
      <c r="DO36" s="79"/>
      <c r="DP36" s="80"/>
      <c r="DQ36" s="80"/>
      <c r="DR36" s="80"/>
      <c r="DS36" s="81"/>
    </row>
    <row r="37" spans="47:123" ht="6" customHeight="1" x14ac:dyDescent="0.35">
      <c r="AU37" s="169"/>
      <c r="AV37" s="169"/>
      <c r="AW37" s="169"/>
      <c r="AX37" s="169"/>
      <c r="AY37" s="169"/>
      <c r="AZ37" s="169"/>
      <c r="BA37" s="169"/>
      <c r="BB37" s="169"/>
      <c r="BC37" s="169"/>
      <c r="BD37" s="169"/>
      <c r="BE37" s="169"/>
      <c r="BF37" s="169"/>
      <c r="BG37" s="169"/>
      <c r="BH37" s="169"/>
      <c r="BI37" s="169"/>
      <c r="BJ37" s="169"/>
      <c r="BK37" s="169"/>
      <c r="BL37" s="169"/>
      <c r="BM37" s="169"/>
      <c r="BN37" s="169"/>
      <c r="BO37" s="169"/>
      <c r="BP37" s="169"/>
      <c r="BQ37" s="169"/>
      <c r="BR37" s="169"/>
      <c r="BS37" s="169"/>
      <c r="BT37" s="169"/>
      <c r="BU37" s="169"/>
      <c r="BV37" s="169"/>
      <c r="BW37" s="169"/>
      <c r="BX37" s="169"/>
      <c r="BY37" s="169"/>
      <c r="BZ37" s="169"/>
      <c r="CA37" s="169"/>
      <c r="CB37" s="169"/>
      <c r="CC37" s="169"/>
      <c r="CD37" s="169"/>
    </row>
    <row r="38" spans="47:123" ht="6" customHeight="1" x14ac:dyDescent="0.35">
      <c r="AU38" s="169"/>
      <c r="AV38" s="169"/>
      <c r="AW38" s="169"/>
      <c r="AX38" s="169"/>
      <c r="AY38" s="169"/>
      <c r="AZ38" s="169"/>
      <c r="BA38" s="169"/>
      <c r="BB38" s="169"/>
      <c r="BC38" s="169"/>
      <c r="BD38" s="169"/>
      <c r="BE38" s="169"/>
      <c r="BF38" s="169"/>
      <c r="BG38" s="169"/>
      <c r="BH38" s="169"/>
      <c r="BI38" s="169"/>
      <c r="BJ38" s="169"/>
      <c r="BK38" s="169"/>
      <c r="BL38" s="169"/>
      <c r="BM38" s="169"/>
      <c r="BN38" s="169"/>
      <c r="BO38" s="169"/>
      <c r="BP38" s="169"/>
      <c r="BQ38" s="169"/>
      <c r="BR38" s="169"/>
      <c r="BS38" s="169"/>
      <c r="BT38" s="169"/>
      <c r="BU38" s="169"/>
      <c r="BV38" s="169"/>
      <c r="BW38" s="169"/>
      <c r="BX38" s="169"/>
      <c r="BY38" s="169"/>
      <c r="BZ38" s="169"/>
      <c r="CA38" s="169"/>
      <c r="CB38" s="169"/>
      <c r="CC38" s="169"/>
      <c r="CD38" s="169"/>
    </row>
    <row r="39" spans="47:123" ht="6" customHeight="1" x14ac:dyDescent="0.35">
      <c r="AU39" s="169"/>
      <c r="AV39" s="169"/>
      <c r="AW39" s="169"/>
      <c r="AX39" s="169"/>
      <c r="AY39" s="169"/>
      <c r="AZ39" s="169"/>
      <c r="BA39" s="169"/>
      <c r="BB39" s="169"/>
      <c r="BC39" s="169"/>
      <c r="BD39" s="169"/>
      <c r="BE39" s="169"/>
      <c r="BF39" s="169"/>
      <c r="BG39" s="169"/>
      <c r="BH39" s="169"/>
      <c r="BI39" s="169"/>
      <c r="BJ39" s="169"/>
      <c r="BK39" s="169"/>
      <c r="BL39" s="169"/>
      <c r="BM39" s="169"/>
      <c r="BN39" s="169"/>
      <c r="BO39" s="169"/>
      <c r="BP39" s="169"/>
      <c r="BQ39" s="169"/>
      <c r="BR39" s="169"/>
      <c r="BS39" s="169"/>
      <c r="BT39" s="169"/>
      <c r="BU39" s="169"/>
      <c r="BV39" s="169"/>
      <c r="BW39" s="169"/>
      <c r="BX39" s="169"/>
      <c r="BY39" s="169"/>
      <c r="BZ39" s="169"/>
      <c r="CA39" s="169"/>
      <c r="CB39" s="169"/>
      <c r="CC39" s="169"/>
      <c r="CD39" s="169"/>
    </row>
    <row r="40" spans="47:123" ht="6" customHeight="1" x14ac:dyDescent="0.35">
      <c r="AU40" s="169"/>
      <c r="AV40" s="169"/>
      <c r="AW40" s="169"/>
      <c r="AX40" s="169"/>
      <c r="AY40" s="169"/>
      <c r="AZ40" s="169"/>
      <c r="BA40" s="169"/>
      <c r="BB40" s="169"/>
      <c r="BC40" s="169"/>
      <c r="BD40" s="169"/>
      <c r="BE40" s="169"/>
      <c r="BF40" s="169"/>
      <c r="BG40" s="169"/>
      <c r="BH40" s="169"/>
      <c r="BI40" s="169"/>
      <c r="BJ40" s="169"/>
      <c r="BK40" s="169"/>
      <c r="BL40" s="169"/>
      <c r="BM40" s="169"/>
      <c r="BN40" s="169"/>
      <c r="BO40" s="169"/>
      <c r="BP40" s="169"/>
      <c r="BQ40" s="169"/>
      <c r="BR40" s="169"/>
      <c r="BS40" s="169"/>
      <c r="BT40" s="169"/>
      <c r="BU40" s="169"/>
      <c r="BV40" s="169"/>
      <c r="BW40" s="169"/>
      <c r="BX40" s="169"/>
      <c r="BY40" s="169"/>
      <c r="BZ40" s="169"/>
      <c r="CA40" s="169"/>
      <c r="CB40" s="169"/>
      <c r="CC40" s="169"/>
      <c r="CD40" s="169"/>
    </row>
    <row r="41" spans="47:123" ht="6" customHeight="1" x14ac:dyDescent="0.35">
      <c r="AU41" s="199" t="s">
        <v>9</v>
      </c>
      <c r="AV41" s="200"/>
      <c r="AW41" s="200"/>
      <c r="AX41" s="200"/>
      <c r="AY41" s="200"/>
      <c r="AZ41" s="200"/>
      <c r="BA41" s="200"/>
      <c r="BB41" s="200"/>
      <c r="BC41" s="200"/>
      <c r="BD41" s="200" t="s">
        <v>10</v>
      </c>
      <c r="BE41" s="200"/>
      <c r="BF41" s="200"/>
      <c r="BG41" s="200"/>
      <c r="BH41" s="200"/>
      <c r="BI41" s="200"/>
      <c r="BJ41" s="200"/>
      <c r="BK41" s="200"/>
      <c r="BL41" s="200"/>
      <c r="BM41" s="197" t="s">
        <v>10</v>
      </c>
      <c r="BN41" s="197"/>
      <c r="BO41" s="197"/>
      <c r="BP41" s="197"/>
      <c r="BQ41" s="197"/>
      <c r="BR41" s="197"/>
      <c r="BS41" s="197"/>
      <c r="BT41" s="197"/>
      <c r="BU41" s="197"/>
      <c r="BV41" s="197" t="s">
        <v>9</v>
      </c>
      <c r="BW41" s="197"/>
      <c r="BX41" s="197"/>
      <c r="BY41" s="197"/>
      <c r="BZ41" s="197"/>
      <c r="CA41" s="197"/>
      <c r="CB41" s="197"/>
      <c r="CC41" s="197"/>
      <c r="CD41" s="221"/>
    </row>
    <row r="42" spans="47:123" ht="6" customHeight="1" x14ac:dyDescent="0.35">
      <c r="AU42" s="201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2"/>
      <c r="BK42" s="202"/>
      <c r="BL42" s="202"/>
      <c r="BM42" s="198"/>
      <c r="BN42" s="198"/>
      <c r="BO42" s="198"/>
      <c r="BP42" s="198"/>
      <c r="BQ42" s="198"/>
      <c r="BR42" s="198"/>
      <c r="BS42" s="198"/>
      <c r="BT42" s="198"/>
      <c r="BU42" s="198"/>
      <c r="BV42" s="198"/>
      <c r="BW42" s="198"/>
      <c r="BX42" s="198"/>
      <c r="BY42" s="198"/>
      <c r="BZ42" s="198"/>
      <c r="CA42" s="198"/>
      <c r="CB42" s="198"/>
      <c r="CC42" s="198"/>
      <c r="CD42" s="222"/>
    </row>
    <row r="44" spans="47:123" ht="6" customHeight="1" x14ac:dyDescent="0.35">
      <c r="AU44" s="191" t="s">
        <v>43</v>
      </c>
      <c r="AV44" s="191"/>
      <c r="AW44" s="191"/>
      <c r="AX44" s="191"/>
      <c r="AY44" s="191"/>
      <c r="AZ44" s="191"/>
      <c r="BA44" s="191"/>
      <c r="BB44" s="191"/>
      <c r="BC44" s="191"/>
      <c r="BD44" s="191"/>
      <c r="BE44" s="191"/>
      <c r="BF44" s="191"/>
      <c r="BG44" s="193" t="s">
        <v>19</v>
      </c>
      <c r="BH44" s="194"/>
      <c r="BI44" s="175"/>
      <c r="BJ44" s="175"/>
      <c r="BK44" s="175"/>
      <c r="BL44" s="175"/>
      <c r="BM44" s="209" t="s">
        <v>44</v>
      </c>
      <c r="BN44" s="209"/>
      <c r="BO44" s="209"/>
      <c r="BP44" s="209"/>
      <c r="BQ44" s="209"/>
      <c r="BR44" s="209"/>
      <c r="BS44" s="209"/>
      <c r="BT44" s="209"/>
      <c r="BU44" s="209"/>
      <c r="BV44" s="209"/>
      <c r="BW44" s="209"/>
      <c r="BX44" s="209"/>
      <c r="BY44" s="209"/>
      <c r="BZ44" s="209"/>
      <c r="CA44" s="209"/>
      <c r="CB44" s="209"/>
      <c r="CC44" s="209"/>
      <c r="CD44" s="209"/>
    </row>
    <row r="45" spans="47:123" ht="6" customHeight="1" x14ac:dyDescent="0.35">
      <c r="AU45" s="191"/>
      <c r="AV45" s="191"/>
      <c r="AW45" s="191"/>
      <c r="AX45" s="191"/>
      <c r="AY45" s="191"/>
      <c r="AZ45" s="191"/>
      <c r="BA45" s="191"/>
      <c r="BB45" s="191"/>
      <c r="BC45" s="191"/>
      <c r="BD45" s="191"/>
      <c r="BE45" s="191"/>
      <c r="BF45" s="191"/>
      <c r="BG45" s="193"/>
      <c r="BH45" s="194"/>
      <c r="BI45" s="175"/>
      <c r="BJ45" s="175"/>
      <c r="BK45" s="175"/>
      <c r="BL45" s="175"/>
      <c r="BM45" s="209"/>
      <c r="BN45" s="209"/>
      <c r="BO45" s="209"/>
      <c r="BP45" s="209"/>
      <c r="BQ45" s="209"/>
      <c r="BR45" s="209"/>
      <c r="BS45" s="209"/>
      <c r="BT45" s="209"/>
      <c r="BU45" s="209"/>
      <c r="BV45" s="209"/>
      <c r="BW45" s="209"/>
      <c r="BX45" s="209"/>
      <c r="BY45" s="209"/>
      <c r="BZ45" s="209"/>
      <c r="CA45" s="209"/>
      <c r="CB45" s="209"/>
      <c r="CC45" s="209"/>
      <c r="CD45" s="209"/>
    </row>
    <row r="46" spans="47:123" ht="6" customHeight="1" x14ac:dyDescent="0.35">
      <c r="AU46" s="192"/>
      <c r="AV46" s="192"/>
      <c r="AW46" s="192"/>
      <c r="AX46" s="192"/>
      <c r="AY46" s="192"/>
      <c r="AZ46" s="192"/>
      <c r="BA46" s="192"/>
      <c r="BB46" s="192"/>
      <c r="BC46" s="192"/>
      <c r="BD46" s="192"/>
      <c r="BE46" s="192"/>
      <c r="BF46" s="192"/>
      <c r="BG46" s="194"/>
      <c r="BH46" s="194"/>
      <c r="BI46" s="175"/>
      <c r="BJ46" s="175"/>
      <c r="BK46" s="175"/>
      <c r="BL46" s="175"/>
      <c r="BM46" s="210"/>
      <c r="BN46" s="210"/>
      <c r="BO46" s="210"/>
      <c r="BP46" s="210"/>
      <c r="BQ46" s="210"/>
      <c r="BR46" s="210"/>
      <c r="BS46" s="210"/>
      <c r="BT46" s="210"/>
      <c r="BU46" s="210"/>
      <c r="BV46" s="210"/>
      <c r="BW46" s="210"/>
      <c r="BX46" s="210"/>
      <c r="BY46" s="210"/>
      <c r="BZ46" s="210"/>
      <c r="CA46" s="210"/>
      <c r="CB46" s="210"/>
      <c r="CC46" s="210"/>
      <c r="CD46" s="210"/>
    </row>
    <row r="47" spans="47:123" ht="6" customHeight="1" x14ac:dyDescent="0.35">
      <c r="AU47" s="169"/>
      <c r="AV47" s="169"/>
      <c r="AW47" s="169"/>
      <c r="AX47" s="169"/>
      <c r="AY47" s="169"/>
      <c r="AZ47" s="169"/>
      <c r="BA47" s="169"/>
      <c r="BB47" s="169"/>
      <c r="BC47" s="169"/>
      <c r="BD47" s="169"/>
      <c r="BE47" s="169"/>
      <c r="BF47" s="169"/>
      <c r="BG47" s="169"/>
      <c r="BH47" s="169"/>
      <c r="BI47" s="169"/>
      <c r="BJ47" s="169"/>
      <c r="BK47" s="169"/>
      <c r="BL47" s="169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</row>
    <row r="48" spans="47:123" ht="6" customHeight="1" x14ac:dyDescent="0.35">
      <c r="AU48" s="169"/>
      <c r="AV48" s="169"/>
      <c r="AW48" s="169"/>
      <c r="AX48" s="169"/>
      <c r="AY48" s="169"/>
      <c r="AZ48" s="169"/>
      <c r="BA48" s="169"/>
      <c r="BB48" s="169"/>
      <c r="BC48" s="169"/>
      <c r="BD48" s="169"/>
      <c r="BE48" s="169"/>
      <c r="BF48" s="169"/>
      <c r="BG48" s="169"/>
      <c r="BH48" s="169"/>
      <c r="BI48" s="169"/>
      <c r="BJ48" s="169"/>
      <c r="BK48" s="169"/>
      <c r="BL48" s="169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</row>
    <row r="49" spans="47:83" ht="6" customHeight="1" x14ac:dyDescent="0.35">
      <c r="AU49" s="169"/>
      <c r="AV49" s="169"/>
      <c r="AW49" s="169"/>
      <c r="AX49" s="169"/>
      <c r="AY49" s="169"/>
      <c r="AZ49" s="169"/>
      <c r="BA49" s="169"/>
      <c r="BB49" s="169"/>
      <c r="BC49" s="169"/>
      <c r="BD49" s="169"/>
      <c r="BE49" s="169"/>
      <c r="BF49" s="169"/>
      <c r="BG49" s="169"/>
      <c r="BH49" s="169"/>
      <c r="BI49" s="169"/>
      <c r="BJ49" s="169"/>
      <c r="BK49" s="169"/>
      <c r="BL49" s="169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</row>
    <row r="50" spans="47:83" ht="6" customHeight="1" x14ac:dyDescent="0.35">
      <c r="AU50" s="169"/>
      <c r="AV50" s="169"/>
      <c r="AW50" s="169"/>
      <c r="AX50" s="169"/>
      <c r="AY50" s="169"/>
      <c r="AZ50" s="169"/>
      <c r="BA50" s="169"/>
      <c r="BB50" s="169"/>
      <c r="BC50" s="169"/>
      <c r="BD50" s="169"/>
      <c r="BE50" s="169"/>
      <c r="BF50" s="169"/>
      <c r="BG50" s="169"/>
      <c r="BH50" s="169"/>
      <c r="BI50" s="169"/>
      <c r="BJ50" s="169"/>
      <c r="BK50" s="169"/>
      <c r="BL50" s="169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</row>
    <row r="51" spans="47:83" ht="6" customHeight="1" x14ac:dyDescent="0.35">
      <c r="AU51" s="169"/>
      <c r="AV51" s="169"/>
      <c r="AW51" s="169"/>
      <c r="AX51" s="169"/>
      <c r="AY51" s="169"/>
      <c r="AZ51" s="169"/>
      <c r="BA51" s="169"/>
      <c r="BB51" s="169"/>
      <c r="BC51" s="169"/>
      <c r="BD51" s="169"/>
      <c r="BE51" s="169"/>
      <c r="BF51" s="169"/>
      <c r="BG51" s="169"/>
      <c r="BH51" s="169"/>
      <c r="BI51" s="169"/>
      <c r="BJ51" s="169"/>
      <c r="BK51" s="169"/>
      <c r="BL51" s="169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</row>
    <row r="52" spans="47:83" ht="6" customHeight="1" x14ac:dyDescent="0.35">
      <c r="AU52" s="187" t="s">
        <v>45</v>
      </c>
      <c r="AV52" s="188"/>
      <c r="AW52" s="188"/>
      <c r="AX52" s="188"/>
      <c r="AY52" s="188"/>
      <c r="AZ52" s="188"/>
      <c r="BA52" s="188"/>
      <c r="BB52" s="188"/>
      <c r="BC52" s="188"/>
      <c r="BD52" s="188" t="s">
        <v>46</v>
      </c>
      <c r="BE52" s="188"/>
      <c r="BF52" s="188"/>
      <c r="BG52" s="188"/>
      <c r="BH52" s="188"/>
      <c r="BI52" s="188"/>
      <c r="BJ52" s="188"/>
      <c r="BK52" s="188"/>
      <c r="BL52" s="188"/>
      <c r="BM52" s="211"/>
      <c r="BN52" s="212"/>
      <c r="BO52" s="212"/>
      <c r="BP52" s="212"/>
      <c r="BQ52" s="212"/>
      <c r="BR52" s="212"/>
      <c r="BS52" s="212"/>
      <c r="BT52" s="212"/>
      <c r="BU52" s="212"/>
      <c r="BV52" s="212"/>
      <c r="BW52" s="212"/>
      <c r="BX52" s="212"/>
      <c r="BY52" s="212"/>
      <c r="BZ52" s="212"/>
      <c r="CA52" s="212"/>
      <c r="CB52" s="212"/>
      <c r="CC52" s="212"/>
      <c r="CD52" s="213"/>
    </row>
    <row r="53" spans="47:83" ht="6" customHeight="1" x14ac:dyDescent="0.35">
      <c r="AU53" s="189"/>
      <c r="AV53" s="190"/>
      <c r="AW53" s="190"/>
      <c r="AX53" s="190"/>
      <c r="AY53" s="190"/>
      <c r="AZ53" s="190"/>
      <c r="BA53" s="190"/>
      <c r="BB53" s="190"/>
      <c r="BC53" s="190"/>
      <c r="BD53" s="190"/>
      <c r="BE53" s="190"/>
      <c r="BF53" s="190"/>
      <c r="BG53" s="190"/>
      <c r="BH53" s="190"/>
      <c r="BI53" s="190"/>
      <c r="BJ53" s="190"/>
      <c r="BK53" s="190"/>
      <c r="BL53" s="190"/>
      <c r="BM53" s="214"/>
      <c r="BN53" s="215"/>
      <c r="BO53" s="215"/>
      <c r="BP53" s="215"/>
      <c r="BQ53" s="215"/>
      <c r="BR53" s="215"/>
      <c r="BS53" s="215"/>
      <c r="BT53" s="215"/>
      <c r="BU53" s="215"/>
      <c r="BV53" s="215"/>
      <c r="BW53" s="215"/>
      <c r="BX53" s="215"/>
      <c r="BY53" s="215"/>
      <c r="BZ53" s="215"/>
      <c r="CA53" s="215"/>
      <c r="CB53" s="215"/>
      <c r="CC53" s="215"/>
      <c r="CD53" s="216"/>
    </row>
    <row r="55" spans="47:83" ht="6" customHeight="1" x14ac:dyDescent="0.35">
      <c r="AU55" s="109" t="s">
        <v>25</v>
      </c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  <c r="BR55" s="109"/>
      <c r="BS55" s="109"/>
      <c r="BT55" s="109"/>
      <c r="BU55" s="109"/>
      <c r="BV55" s="109"/>
      <c r="BW55" s="109"/>
      <c r="BX55" s="109"/>
      <c r="BY55" s="109"/>
      <c r="BZ55" s="109"/>
      <c r="CA55" s="109"/>
      <c r="CB55" s="109"/>
      <c r="CC55" s="109"/>
      <c r="CD55" s="109"/>
    </row>
    <row r="56" spans="47:83" ht="6" customHeight="1" x14ac:dyDescent="0.35"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  <c r="BR56" s="109"/>
      <c r="BS56" s="109"/>
      <c r="BT56" s="109"/>
      <c r="BU56" s="109"/>
      <c r="BV56" s="109"/>
      <c r="BW56" s="109"/>
      <c r="BX56" s="109"/>
      <c r="BY56" s="109"/>
      <c r="BZ56" s="109"/>
      <c r="CA56" s="109"/>
      <c r="CB56" s="109"/>
      <c r="CC56" s="109"/>
      <c r="CD56" s="109"/>
    </row>
    <row r="57" spans="47:83" ht="6" customHeight="1" x14ac:dyDescent="0.35">
      <c r="AU57" s="103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104"/>
      <c r="CB57" s="104"/>
      <c r="CC57" s="104"/>
      <c r="CD57" s="105"/>
    </row>
    <row r="58" spans="47:83" ht="6" customHeight="1" x14ac:dyDescent="0.35">
      <c r="AU58" s="106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107"/>
      <c r="CA58" s="107"/>
      <c r="CB58" s="107"/>
      <c r="CC58" s="107"/>
      <c r="CD58" s="108"/>
    </row>
    <row r="59" spans="47:83" ht="6" customHeight="1" x14ac:dyDescent="0.35">
      <c r="AU59" s="103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  <c r="BY59" s="104"/>
      <c r="BZ59" s="104"/>
      <c r="CA59" s="104"/>
      <c r="CB59" s="104"/>
      <c r="CC59" s="104"/>
      <c r="CD59" s="105"/>
    </row>
    <row r="60" spans="47:83" ht="6" customHeight="1" x14ac:dyDescent="0.35">
      <c r="AU60" s="106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8"/>
    </row>
    <row r="61" spans="47:83" ht="6" customHeight="1" x14ac:dyDescent="0.35">
      <c r="AU61" s="103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  <c r="BY61" s="104"/>
      <c r="BZ61" s="104"/>
      <c r="CA61" s="104"/>
      <c r="CB61" s="104"/>
      <c r="CC61" s="104"/>
      <c r="CD61" s="105"/>
    </row>
    <row r="62" spans="47:83" ht="6" customHeight="1" x14ac:dyDescent="0.35">
      <c r="AU62" s="106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  <c r="BV62" s="107"/>
      <c r="BW62" s="107"/>
      <c r="BX62" s="107"/>
      <c r="BY62" s="107"/>
      <c r="BZ62" s="107"/>
      <c r="CA62" s="107"/>
      <c r="CB62" s="107"/>
      <c r="CC62" s="107"/>
      <c r="CD62" s="108"/>
    </row>
    <row r="63" spans="47:83" ht="6" customHeight="1" x14ac:dyDescent="0.35">
      <c r="AU63" s="109" t="s">
        <v>26</v>
      </c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  <c r="BR63" s="109"/>
      <c r="BS63" s="109"/>
      <c r="BT63" s="109"/>
      <c r="BU63" s="109"/>
      <c r="BV63" s="109"/>
      <c r="BW63" s="109"/>
      <c r="BX63" s="109"/>
      <c r="BY63" s="109"/>
      <c r="BZ63" s="109"/>
      <c r="CA63" s="109"/>
      <c r="CB63" s="109"/>
      <c r="CC63" s="109"/>
      <c r="CD63" s="109"/>
      <c r="CE63" s="49"/>
    </row>
    <row r="64" spans="47:83" ht="6" customHeight="1" x14ac:dyDescent="0.35"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  <c r="BR64" s="109"/>
      <c r="BS64" s="109"/>
      <c r="BT64" s="109"/>
      <c r="BU64" s="109"/>
      <c r="BV64" s="109"/>
      <c r="BW64" s="109"/>
      <c r="BX64" s="109"/>
      <c r="BY64" s="109"/>
      <c r="BZ64" s="109"/>
      <c r="CA64" s="109"/>
      <c r="CB64" s="109"/>
      <c r="CC64" s="109"/>
      <c r="CD64" s="109"/>
      <c r="CE64" s="49"/>
    </row>
    <row r="65" spans="47:83" ht="6" customHeight="1" x14ac:dyDescent="0.35">
      <c r="AU65" s="103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  <c r="BY65" s="104"/>
      <c r="BZ65" s="104"/>
      <c r="CA65" s="104"/>
      <c r="CB65" s="104"/>
      <c r="CC65" s="104"/>
      <c r="CD65" s="105"/>
      <c r="CE65" s="49"/>
    </row>
    <row r="66" spans="47:83" ht="6" customHeight="1" x14ac:dyDescent="0.35">
      <c r="AU66" s="106"/>
      <c r="AV66" s="107"/>
      <c r="AW66" s="107"/>
      <c r="AX66" s="107"/>
      <c r="AY66" s="107"/>
      <c r="AZ66" s="107"/>
      <c r="BA66" s="107"/>
      <c r="BB66" s="107"/>
      <c r="BC66" s="107"/>
      <c r="BD66" s="107"/>
      <c r="BE66" s="107"/>
      <c r="BF66" s="107"/>
      <c r="BG66" s="107"/>
      <c r="BH66" s="107"/>
      <c r="BI66" s="107"/>
      <c r="BJ66" s="107"/>
      <c r="BK66" s="107"/>
      <c r="BL66" s="107"/>
      <c r="BM66" s="107"/>
      <c r="BN66" s="107"/>
      <c r="BO66" s="107"/>
      <c r="BP66" s="107"/>
      <c r="BQ66" s="107"/>
      <c r="BR66" s="107"/>
      <c r="BS66" s="107"/>
      <c r="BT66" s="107"/>
      <c r="BU66" s="107"/>
      <c r="BV66" s="107"/>
      <c r="BW66" s="107"/>
      <c r="BX66" s="107"/>
      <c r="BY66" s="107"/>
      <c r="BZ66" s="107"/>
      <c r="CA66" s="107"/>
      <c r="CB66" s="107"/>
      <c r="CC66" s="107"/>
      <c r="CD66" s="108"/>
      <c r="CE66" s="49"/>
    </row>
    <row r="67" spans="47:83" ht="6" customHeight="1" x14ac:dyDescent="0.35">
      <c r="AU67" s="103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  <c r="BY67" s="104"/>
      <c r="BZ67" s="104"/>
      <c r="CA67" s="104"/>
      <c r="CB67" s="104"/>
      <c r="CC67" s="104"/>
      <c r="CD67" s="105"/>
      <c r="CE67" s="49"/>
    </row>
    <row r="68" spans="47:83" ht="6" customHeight="1" x14ac:dyDescent="0.35">
      <c r="AU68" s="106"/>
      <c r="AV68" s="107"/>
      <c r="AW68" s="107"/>
      <c r="AX68" s="107"/>
      <c r="AY68" s="107"/>
      <c r="AZ68" s="107"/>
      <c r="BA68" s="107"/>
      <c r="BB68" s="107"/>
      <c r="BC68" s="107"/>
      <c r="BD68" s="107"/>
      <c r="BE68" s="107"/>
      <c r="BF68" s="107"/>
      <c r="BG68" s="107"/>
      <c r="BH68" s="107"/>
      <c r="BI68" s="107"/>
      <c r="BJ68" s="107"/>
      <c r="BK68" s="107"/>
      <c r="BL68" s="107"/>
      <c r="BM68" s="107"/>
      <c r="BN68" s="107"/>
      <c r="BO68" s="107"/>
      <c r="BP68" s="107"/>
      <c r="BQ68" s="107"/>
      <c r="BR68" s="107"/>
      <c r="BS68" s="107"/>
      <c r="BT68" s="107"/>
      <c r="BU68" s="107"/>
      <c r="BV68" s="107"/>
      <c r="BW68" s="107"/>
      <c r="BX68" s="107"/>
      <c r="BY68" s="107"/>
      <c r="BZ68" s="107"/>
      <c r="CA68" s="107"/>
      <c r="CB68" s="107"/>
      <c r="CC68" s="107"/>
      <c r="CD68" s="108"/>
      <c r="CE68" s="49"/>
    </row>
    <row r="69" spans="47:83" ht="6" customHeight="1" x14ac:dyDescent="0.35">
      <c r="AU69" s="103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  <c r="BY69" s="104"/>
      <c r="BZ69" s="104"/>
      <c r="CA69" s="104"/>
      <c r="CB69" s="104"/>
      <c r="CC69" s="104"/>
      <c r="CD69" s="105"/>
      <c r="CE69" s="49"/>
    </row>
    <row r="70" spans="47:83" ht="6" customHeight="1" x14ac:dyDescent="0.35">
      <c r="AU70" s="106"/>
      <c r="AV70" s="107"/>
      <c r="AW70" s="107"/>
      <c r="AX70" s="107"/>
      <c r="AY70" s="107"/>
      <c r="AZ70" s="107"/>
      <c r="BA70" s="107"/>
      <c r="BB70" s="107"/>
      <c r="BC70" s="107"/>
      <c r="BD70" s="107"/>
      <c r="BE70" s="107"/>
      <c r="BF70" s="107"/>
      <c r="BG70" s="107"/>
      <c r="BH70" s="107"/>
      <c r="BI70" s="107"/>
      <c r="BJ70" s="107"/>
      <c r="BK70" s="107"/>
      <c r="BL70" s="107"/>
      <c r="BM70" s="107"/>
      <c r="BN70" s="107"/>
      <c r="BO70" s="107"/>
      <c r="BP70" s="107"/>
      <c r="BQ70" s="107"/>
      <c r="BR70" s="107"/>
      <c r="BS70" s="107"/>
      <c r="BT70" s="107"/>
      <c r="BU70" s="107"/>
      <c r="BV70" s="107"/>
      <c r="BW70" s="107"/>
      <c r="BX70" s="107"/>
      <c r="BY70" s="107"/>
      <c r="BZ70" s="107"/>
      <c r="CA70" s="107"/>
      <c r="CB70" s="107"/>
      <c r="CC70" s="107"/>
      <c r="CD70" s="108"/>
      <c r="CE70" s="49"/>
    </row>
    <row r="71" spans="47:83" ht="6" customHeight="1" x14ac:dyDescent="0.35">
      <c r="AU71" s="103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  <c r="BY71" s="104"/>
      <c r="BZ71" s="104"/>
      <c r="CA71" s="104"/>
      <c r="CB71" s="104"/>
      <c r="CC71" s="104"/>
      <c r="CD71" s="105"/>
      <c r="CE71" s="49"/>
    </row>
    <row r="72" spans="47:83" ht="6" customHeight="1" x14ac:dyDescent="0.35">
      <c r="AU72" s="106"/>
      <c r="AV72" s="107"/>
      <c r="AW72" s="107"/>
      <c r="AX72" s="107"/>
      <c r="AY72" s="107"/>
      <c r="AZ72" s="107"/>
      <c r="BA72" s="107"/>
      <c r="BB72" s="107"/>
      <c r="BC72" s="107"/>
      <c r="BD72" s="107"/>
      <c r="BE72" s="107"/>
      <c r="BF72" s="107"/>
      <c r="BG72" s="107"/>
      <c r="BH72" s="107"/>
      <c r="BI72" s="107"/>
      <c r="BJ72" s="107"/>
      <c r="BK72" s="107"/>
      <c r="BL72" s="107"/>
      <c r="BM72" s="107"/>
      <c r="BN72" s="107"/>
      <c r="BO72" s="107"/>
      <c r="BP72" s="107"/>
      <c r="BQ72" s="107"/>
      <c r="BR72" s="107"/>
      <c r="BS72" s="107"/>
      <c r="BT72" s="107"/>
      <c r="BU72" s="107"/>
      <c r="BV72" s="107"/>
      <c r="BW72" s="107"/>
      <c r="BX72" s="107"/>
      <c r="BY72" s="107"/>
      <c r="BZ72" s="107"/>
      <c r="CA72" s="107"/>
      <c r="CB72" s="107"/>
      <c r="CC72" s="107"/>
      <c r="CD72" s="108"/>
      <c r="CE72" s="49"/>
    </row>
    <row r="73" spans="47:83" ht="6" customHeight="1" x14ac:dyDescent="0.35"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9"/>
    </row>
    <row r="74" spans="47:83" ht="6" customHeight="1" x14ac:dyDescent="0.35">
      <c r="AU74" s="110" t="s">
        <v>20</v>
      </c>
      <c r="AV74" s="110"/>
      <c r="AW74" s="110"/>
      <c r="AX74" s="110"/>
      <c r="AY74" s="110"/>
      <c r="AZ74" s="110"/>
      <c r="BA74" s="110"/>
      <c r="BB74" s="112" t="s">
        <v>22</v>
      </c>
      <c r="BC74" s="112"/>
      <c r="BD74" s="112"/>
      <c r="BE74" s="112"/>
      <c r="BF74" s="112"/>
      <c r="BG74" s="112"/>
      <c r="BH74" s="112"/>
      <c r="BI74" s="112"/>
      <c r="BJ74" s="112"/>
      <c r="BK74" s="112"/>
      <c r="BL74" s="112"/>
      <c r="BM74" s="112"/>
      <c r="BN74" s="112"/>
      <c r="BO74" s="112"/>
      <c r="BP74" s="112" t="s">
        <v>86</v>
      </c>
      <c r="BQ74" s="112"/>
      <c r="BR74" s="112"/>
      <c r="BS74" s="112"/>
      <c r="BT74" s="112"/>
      <c r="BU74" s="112" t="s">
        <v>87</v>
      </c>
      <c r="BV74" s="112"/>
      <c r="BW74" s="112"/>
      <c r="BX74" s="112"/>
      <c r="BY74" s="112"/>
      <c r="BZ74" s="110" t="s">
        <v>21</v>
      </c>
      <c r="CA74" s="110"/>
      <c r="CB74" s="110"/>
      <c r="CC74" s="110"/>
      <c r="CD74" s="110"/>
      <c r="CE74" s="49"/>
    </row>
    <row r="75" spans="47:83" ht="6" customHeight="1" x14ac:dyDescent="0.35">
      <c r="AU75" s="111"/>
      <c r="AV75" s="111"/>
      <c r="AW75" s="111"/>
      <c r="AX75" s="111"/>
      <c r="AY75" s="111"/>
      <c r="AZ75" s="111"/>
      <c r="BA75" s="111"/>
      <c r="BB75" s="114"/>
      <c r="BC75" s="114"/>
      <c r="BD75" s="114"/>
      <c r="BE75" s="114"/>
      <c r="BF75" s="114"/>
      <c r="BG75" s="114"/>
      <c r="BH75" s="114"/>
      <c r="BI75" s="114"/>
      <c r="BJ75" s="114"/>
      <c r="BK75" s="114"/>
      <c r="BL75" s="114"/>
      <c r="BM75" s="114"/>
      <c r="BN75" s="114"/>
      <c r="BO75" s="114"/>
      <c r="BP75" s="113"/>
      <c r="BQ75" s="113"/>
      <c r="BR75" s="113"/>
      <c r="BS75" s="113"/>
      <c r="BT75" s="113"/>
      <c r="BU75" s="113"/>
      <c r="BV75" s="113"/>
      <c r="BW75" s="113"/>
      <c r="BX75" s="113"/>
      <c r="BY75" s="113"/>
      <c r="BZ75" s="110"/>
      <c r="CA75" s="110"/>
      <c r="CB75" s="110"/>
      <c r="CC75" s="110"/>
      <c r="CD75" s="110"/>
      <c r="CE75" s="49"/>
    </row>
    <row r="76" spans="47:83" ht="6" customHeight="1" x14ac:dyDescent="0.35">
      <c r="AU76" s="82"/>
      <c r="AV76" s="83"/>
      <c r="AW76" s="83"/>
      <c r="AX76" s="83"/>
      <c r="AY76" s="83"/>
      <c r="AZ76" s="83"/>
      <c r="BA76" s="83"/>
      <c r="BB76" s="83"/>
      <c r="BC76" s="83"/>
      <c r="BD76" s="83"/>
      <c r="BE76" s="83"/>
      <c r="BF76" s="83"/>
      <c r="BG76" s="83"/>
      <c r="BH76" s="83"/>
      <c r="BI76" s="83"/>
      <c r="BJ76" s="83"/>
      <c r="BK76" s="83"/>
      <c r="BL76" s="83"/>
      <c r="BM76" s="83"/>
      <c r="BN76" s="83"/>
      <c r="BO76" s="84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95"/>
      <c r="CA76" s="95"/>
      <c r="CB76" s="95"/>
      <c r="CC76" s="95"/>
      <c r="CD76" s="96"/>
      <c r="CE76" s="49"/>
    </row>
    <row r="77" spans="47:83" ht="6" customHeight="1" x14ac:dyDescent="0.35">
      <c r="AU77" s="85"/>
      <c r="AV77" s="86"/>
      <c r="AW77" s="86"/>
      <c r="AX77" s="86"/>
      <c r="AY77" s="86"/>
      <c r="AZ77" s="86"/>
      <c r="BA77" s="86"/>
      <c r="BB77" s="86"/>
      <c r="BC77" s="86"/>
      <c r="BD77" s="86"/>
      <c r="BE77" s="86"/>
      <c r="BF77" s="86"/>
      <c r="BG77" s="86"/>
      <c r="BH77" s="86"/>
      <c r="BI77" s="86"/>
      <c r="BJ77" s="86"/>
      <c r="BK77" s="86"/>
      <c r="BL77" s="86"/>
      <c r="BM77" s="86"/>
      <c r="BN77" s="86"/>
      <c r="BO77" s="87"/>
      <c r="BP77" s="101"/>
      <c r="BQ77" s="101"/>
      <c r="BR77" s="101"/>
      <c r="BS77" s="101"/>
      <c r="BT77" s="101"/>
      <c r="BU77" s="101"/>
      <c r="BV77" s="101"/>
      <c r="BW77" s="101"/>
      <c r="BX77" s="101"/>
      <c r="BY77" s="101"/>
      <c r="BZ77" s="98"/>
      <c r="CA77" s="98"/>
      <c r="CB77" s="98"/>
      <c r="CC77" s="98"/>
      <c r="CD77" s="99"/>
      <c r="CE77" s="49"/>
    </row>
    <row r="78" spans="47:83" ht="6" customHeight="1" x14ac:dyDescent="0.35">
      <c r="AU78" s="82"/>
      <c r="AV78" s="83"/>
      <c r="AW78" s="83"/>
      <c r="AX78" s="83"/>
      <c r="AY78" s="83"/>
      <c r="AZ78" s="83"/>
      <c r="BA78" s="83"/>
      <c r="BB78" s="83"/>
      <c r="BC78" s="83"/>
      <c r="BD78" s="83"/>
      <c r="BE78" s="83"/>
      <c r="BF78" s="83"/>
      <c r="BG78" s="83"/>
      <c r="BH78" s="83"/>
      <c r="BI78" s="83"/>
      <c r="BJ78" s="83"/>
      <c r="BK78" s="83"/>
      <c r="BL78" s="83"/>
      <c r="BM78" s="83"/>
      <c r="BN78" s="83"/>
      <c r="BO78" s="84"/>
      <c r="BP78" s="101"/>
      <c r="BQ78" s="101"/>
      <c r="BR78" s="101"/>
      <c r="BS78" s="101"/>
      <c r="BT78" s="101"/>
      <c r="BU78" s="101"/>
      <c r="BV78" s="101"/>
      <c r="BW78" s="101"/>
      <c r="BX78" s="101"/>
      <c r="BY78" s="101"/>
      <c r="BZ78" s="94"/>
      <c r="CA78" s="95"/>
      <c r="CB78" s="95"/>
      <c r="CC78" s="95"/>
      <c r="CD78" s="96"/>
      <c r="CE78" s="49"/>
    </row>
    <row r="79" spans="47:83" ht="6" customHeight="1" x14ac:dyDescent="0.35">
      <c r="AU79" s="85"/>
      <c r="AV79" s="86"/>
      <c r="AW79" s="86"/>
      <c r="AX79" s="86"/>
      <c r="AY79" s="86"/>
      <c r="AZ79" s="86"/>
      <c r="BA79" s="86"/>
      <c r="BB79" s="86"/>
      <c r="BC79" s="86"/>
      <c r="BD79" s="86"/>
      <c r="BE79" s="86"/>
      <c r="BF79" s="86"/>
      <c r="BG79" s="86"/>
      <c r="BH79" s="86"/>
      <c r="BI79" s="86"/>
      <c r="BJ79" s="86"/>
      <c r="BK79" s="86"/>
      <c r="BL79" s="86"/>
      <c r="BM79" s="86"/>
      <c r="BN79" s="86"/>
      <c r="BO79" s="87"/>
      <c r="BP79" s="101"/>
      <c r="BQ79" s="101"/>
      <c r="BR79" s="101"/>
      <c r="BS79" s="101"/>
      <c r="BT79" s="101"/>
      <c r="BU79" s="101"/>
      <c r="BV79" s="101"/>
      <c r="BW79" s="101"/>
      <c r="BX79" s="101"/>
      <c r="BY79" s="101"/>
      <c r="BZ79" s="97"/>
      <c r="CA79" s="98"/>
      <c r="CB79" s="98"/>
      <c r="CC79" s="98"/>
      <c r="CD79" s="99"/>
      <c r="CE79" s="49"/>
    </row>
    <row r="80" spans="47:83" ht="6" customHeight="1" x14ac:dyDescent="0.35">
      <c r="AU80" s="82"/>
      <c r="AV80" s="83"/>
      <c r="AW80" s="83"/>
      <c r="AX80" s="83"/>
      <c r="AY80" s="83"/>
      <c r="AZ80" s="83"/>
      <c r="BA80" s="83"/>
      <c r="BB80" s="83"/>
      <c r="BC80" s="83"/>
      <c r="BD80" s="83"/>
      <c r="BE80" s="83"/>
      <c r="BF80" s="83"/>
      <c r="BG80" s="83"/>
      <c r="BH80" s="83"/>
      <c r="BI80" s="83"/>
      <c r="BJ80" s="83"/>
      <c r="BK80" s="83"/>
      <c r="BL80" s="83"/>
      <c r="BM80" s="83"/>
      <c r="BN80" s="83"/>
      <c r="BO80" s="84"/>
      <c r="BP80" s="101"/>
      <c r="BQ80" s="101"/>
      <c r="BR80" s="101"/>
      <c r="BS80" s="101"/>
      <c r="BT80" s="101"/>
      <c r="BU80" s="101"/>
      <c r="BV80" s="101"/>
      <c r="BW80" s="101"/>
      <c r="BX80" s="101"/>
      <c r="BY80" s="101"/>
      <c r="BZ80" s="94"/>
      <c r="CA80" s="95"/>
      <c r="CB80" s="95"/>
      <c r="CC80" s="95"/>
      <c r="CD80" s="96"/>
      <c r="CE80" s="49"/>
    </row>
    <row r="81" spans="47:141" ht="6" customHeight="1" x14ac:dyDescent="0.35">
      <c r="AU81" s="85"/>
      <c r="AV81" s="86"/>
      <c r="AW81" s="86"/>
      <c r="AX81" s="86"/>
      <c r="AY81" s="86"/>
      <c r="AZ81" s="86"/>
      <c r="BA81" s="86"/>
      <c r="BB81" s="86"/>
      <c r="BC81" s="86"/>
      <c r="BD81" s="86"/>
      <c r="BE81" s="86"/>
      <c r="BF81" s="86"/>
      <c r="BG81" s="86"/>
      <c r="BH81" s="86"/>
      <c r="BI81" s="86"/>
      <c r="BJ81" s="86"/>
      <c r="BK81" s="86"/>
      <c r="BL81" s="86"/>
      <c r="BM81" s="86"/>
      <c r="BN81" s="86"/>
      <c r="BO81" s="87"/>
      <c r="BP81" s="101"/>
      <c r="BQ81" s="101"/>
      <c r="BR81" s="101"/>
      <c r="BS81" s="101"/>
      <c r="BT81" s="101"/>
      <c r="BU81" s="101"/>
      <c r="BV81" s="101"/>
      <c r="BW81" s="101"/>
      <c r="BX81" s="101"/>
      <c r="BY81" s="101"/>
      <c r="BZ81" s="97"/>
      <c r="CA81" s="98"/>
      <c r="CB81" s="98"/>
      <c r="CC81" s="98"/>
      <c r="CD81" s="99"/>
      <c r="CE81" s="49"/>
    </row>
    <row r="82" spans="47:141" ht="6" customHeight="1" x14ac:dyDescent="0.35">
      <c r="AU82" s="82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4"/>
      <c r="BP82" s="101"/>
      <c r="BQ82" s="101"/>
      <c r="BR82" s="101"/>
      <c r="BS82" s="101"/>
      <c r="BT82" s="101"/>
      <c r="BU82" s="101"/>
      <c r="BV82" s="101"/>
      <c r="BW82" s="101"/>
      <c r="BX82" s="101"/>
      <c r="BY82" s="101"/>
      <c r="BZ82" s="94"/>
      <c r="CA82" s="95"/>
      <c r="CB82" s="95"/>
      <c r="CC82" s="95"/>
      <c r="CD82" s="96"/>
      <c r="CE82" s="49"/>
    </row>
    <row r="83" spans="47:141" ht="6" customHeight="1" x14ac:dyDescent="0.35">
      <c r="AU83" s="85"/>
      <c r="AV83" s="86"/>
      <c r="AW83" s="86"/>
      <c r="AX83" s="86"/>
      <c r="AY83" s="86"/>
      <c r="AZ83" s="86"/>
      <c r="BA83" s="86"/>
      <c r="BB83" s="86"/>
      <c r="BC83" s="86"/>
      <c r="BD83" s="86"/>
      <c r="BE83" s="86"/>
      <c r="BF83" s="86"/>
      <c r="BG83" s="86"/>
      <c r="BH83" s="86"/>
      <c r="BI83" s="86"/>
      <c r="BJ83" s="86"/>
      <c r="BK83" s="86"/>
      <c r="BL83" s="86"/>
      <c r="BM83" s="86"/>
      <c r="BN83" s="86"/>
      <c r="BO83" s="87"/>
      <c r="BP83" s="101"/>
      <c r="BQ83" s="101"/>
      <c r="BR83" s="101"/>
      <c r="BS83" s="101"/>
      <c r="BT83" s="101"/>
      <c r="BU83" s="101"/>
      <c r="BV83" s="101"/>
      <c r="BW83" s="101"/>
      <c r="BX83" s="101"/>
      <c r="BY83" s="101"/>
      <c r="BZ83" s="97"/>
      <c r="CA83" s="98"/>
      <c r="CB83" s="98"/>
      <c r="CC83" s="98"/>
      <c r="CD83" s="99"/>
      <c r="CE83" s="49"/>
    </row>
    <row r="84" spans="47:141" ht="6" customHeight="1" x14ac:dyDescent="0.35">
      <c r="AU84" s="82"/>
      <c r="AV84" s="83"/>
      <c r="AW84" s="83"/>
      <c r="AX84" s="83"/>
      <c r="AY84" s="83"/>
      <c r="AZ84" s="83"/>
      <c r="BA84" s="83"/>
      <c r="BB84" s="83"/>
      <c r="BC84" s="83"/>
      <c r="BD84" s="83"/>
      <c r="BE84" s="83"/>
      <c r="BF84" s="83"/>
      <c r="BG84" s="83"/>
      <c r="BH84" s="83"/>
      <c r="BI84" s="83"/>
      <c r="BJ84" s="83"/>
      <c r="BK84" s="83"/>
      <c r="BL84" s="83"/>
      <c r="BM84" s="83"/>
      <c r="BN84" s="83"/>
      <c r="BO84" s="84"/>
      <c r="BP84" s="101"/>
      <c r="BQ84" s="101"/>
      <c r="BR84" s="101"/>
      <c r="BS84" s="101"/>
      <c r="BT84" s="101"/>
      <c r="BU84" s="101"/>
      <c r="BV84" s="101"/>
      <c r="BW84" s="101"/>
      <c r="BX84" s="101"/>
      <c r="BY84" s="101"/>
      <c r="BZ84" s="94"/>
      <c r="CA84" s="95"/>
      <c r="CB84" s="95"/>
      <c r="CC84" s="95"/>
      <c r="CD84" s="96"/>
      <c r="CE84" s="49"/>
    </row>
    <row r="85" spans="47:141" ht="6" customHeight="1" x14ac:dyDescent="0.35">
      <c r="AU85" s="85"/>
      <c r="AV85" s="86"/>
      <c r="AW85" s="86"/>
      <c r="AX85" s="86"/>
      <c r="AY85" s="86"/>
      <c r="AZ85" s="86"/>
      <c r="BA85" s="86"/>
      <c r="BB85" s="86"/>
      <c r="BC85" s="86"/>
      <c r="BD85" s="86"/>
      <c r="BE85" s="86"/>
      <c r="BF85" s="86"/>
      <c r="BG85" s="86"/>
      <c r="BH85" s="86"/>
      <c r="BI85" s="86"/>
      <c r="BJ85" s="86"/>
      <c r="BK85" s="86"/>
      <c r="BL85" s="86"/>
      <c r="BM85" s="86"/>
      <c r="BN85" s="86"/>
      <c r="BO85" s="87"/>
      <c r="BP85" s="101"/>
      <c r="BQ85" s="101"/>
      <c r="BR85" s="101"/>
      <c r="BS85" s="101"/>
      <c r="BT85" s="101"/>
      <c r="BU85" s="101"/>
      <c r="BV85" s="101"/>
      <c r="BW85" s="101"/>
      <c r="BX85" s="101"/>
      <c r="BY85" s="101"/>
      <c r="BZ85" s="97"/>
      <c r="CA85" s="98"/>
      <c r="CB85" s="98"/>
      <c r="CC85" s="98"/>
      <c r="CD85" s="99"/>
      <c r="CE85" s="49"/>
    </row>
    <row r="86" spans="47:141" ht="6" customHeight="1" x14ac:dyDescent="0.35">
      <c r="AU86" s="82"/>
      <c r="AV86" s="83"/>
      <c r="AW86" s="83"/>
      <c r="AX86" s="83"/>
      <c r="AY86" s="83"/>
      <c r="AZ86" s="83"/>
      <c r="BA86" s="83"/>
      <c r="BB86" s="83"/>
      <c r="BC86" s="83"/>
      <c r="BD86" s="83"/>
      <c r="BE86" s="83"/>
      <c r="BF86" s="83"/>
      <c r="BG86" s="83"/>
      <c r="BH86" s="83"/>
      <c r="BI86" s="83"/>
      <c r="BJ86" s="83"/>
      <c r="BK86" s="83"/>
      <c r="BL86" s="83"/>
      <c r="BM86" s="83"/>
      <c r="BN86" s="83"/>
      <c r="BO86" s="84"/>
      <c r="BP86" s="101"/>
      <c r="BQ86" s="101"/>
      <c r="BR86" s="101"/>
      <c r="BS86" s="101"/>
      <c r="BT86" s="101"/>
      <c r="BU86" s="101"/>
      <c r="BV86" s="101"/>
      <c r="BW86" s="101"/>
      <c r="BX86" s="101"/>
      <c r="BY86" s="101"/>
      <c r="BZ86" s="94"/>
      <c r="CA86" s="95"/>
      <c r="CB86" s="95"/>
      <c r="CC86" s="95"/>
      <c r="CD86" s="96"/>
      <c r="CE86" s="49"/>
    </row>
    <row r="87" spans="47:141" ht="6" customHeight="1" x14ac:dyDescent="0.35">
      <c r="AU87" s="85"/>
      <c r="AV87" s="86"/>
      <c r="AW87" s="86"/>
      <c r="AX87" s="86"/>
      <c r="AY87" s="86"/>
      <c r="AZ87" s="86"/>
      <c r="BA87" s="86"/>
      <c r="BB87" s="86"/>
      <c r="BC87" s="86"/>
      <c r="BD87" s="86"/>
      <c r="BE87" s="86"/>
      <c r="BF87" s="86"/>
      <c r="BG87" s="86"/>
      <c r="BH87" s="86"/>
      <c r="BI87" s="86"/>
      <c r="BJ87" s="86"/>
      <c r="BK87" s="86"/>
      <c r="BL87" s="86"/>
      <c r="BM87" s="86"/>
      <c r="BN87" s="86"/>
      <c r="BO87" s="87"/>
      <c r="BP87" s="101"/>
      <c r="BQ87" s="101"/>
      <c r="BR87" s="101"/>
      <c r="BS87" s="101"/>
      <c r="BT87" s="101"/>
      <c r="BU87" s="101"/>
      <c r="BV87" s="101"/>
      <c r="BW87" s="101"/>
      <c r="BX87" s="101"/>
      <c r="BY87" s="101"/>
      <c r="BZ87" s="97"/>
      <c r="CA87" s="98"/>
      <c r="CB87" s="98"/>
      <c r="CC87" s="98"/>
      <c r="CD87" s="99"/>
      <c r="CE87" s="49"/>
    </row>
    <row r="88" spans="47:141" ht="6" customHeight="1" x14ac:dyDescent="0.35">
      <c r="AU88" s="82"/>
      <c r="AV88" s="83"/>
      <c r="AW88" s="83"/>
      <c r="AX88" s="83"/>
      <c r="AY88" s="83"/>
      <c r="AZ88" s="83"/>
      <c r="BA88" s="83"/>
      <c r="BB88" s="83"/>
      <c r="BC88" s="83"/>
      <c r="BD88" s="83"/>
      <c r="BE88" s="83"/>
      <c r="BF88" s="83"/>
      <c r="BG88" s="83"/>
      <c r="BH88" s="83"/>
      <c r="BI88" s="83"/>
      <c r="BJ88" s="83"/>
      <c r="BK88" s="83"/>
      <c r="BL88" s="83"/>
      <c r="BM88" s="83"/>
      <c r="BN88" s="83"/>
      <c r="BO88" s="84"/>
      <c r="BP88" s="101"/>
      <c r="BQ88" s="101"/>
      <c r="BR88" s="101"/>
      <c r="BS88" s="101"/>
      <c r="BT88" s="101"/>
      <c r="BU88" s="101"/>
      <c r="BV88" s="101"/>
      <c r="BW88" s="101"/>
      <c r="BX88" s="101"/>
      <c r="BY88" s="101"/>
      <c r="BZ88" s="94"/>
      <c r="CA88" s="95"/>
      <c r="CB88" s="95"/>
      <c r="CC88" s="95"/>
      <c r="CD88" s="96"/>
    </row>
    <row r="89" spans="47:141" ht="6" customHeight="1" x14ac:dyDescent="0.35">
      <c r="AU89" s="85"/>
      <c r="AV89" s="86"/>
      <c r="AW89" s="86"/>
      <c r="AX89" s="86"/>
      <c r="AY89" s="86"/>
      <c r="AZ89" s="86"/>
      <c r="BA89" s="86"/>
      <c r="BB89" s="86"/>
      <c r="BC89" s="86"/>
      <c r="BD89" s="86"/>
      <c r="BE89" s="86"/>
      <c r="BF89" s="86"/>
      <c r="BG89" s="86"/>
      <c r="BH89" s="86"/>
      <c r="BI89" s="86"/>
      <c r="BJ89" s="86"/>
      <c r="BK89" s="86"/>
      <c r="BL89" s="86"/>
      <c r="BM89" s="86"/>
      <c r="BN89" s="86"/>
      <c r="BO89" s="87"/>
      <c r="BP89" s="101"/>
      <c r="BQ89" s="101"/>
      <c r="BR89" s="101"/>
      <c r="BS89" s="101"/>
      <c r="BT89" s="101"/>
      <c r="BU89" s="101"/>
      <c r="BV89" s="101"/>
      <c r="BW89" s="101"/>
      <c r="BX89" s="101"/>
      <c r="BY89" s="101"/>
      <c r="BZ89" s="97"/>
      <c r="CA89" s="98"/>
      <c r="CB89" s="98"/>
      <c r="CC89" s="98"/>
      <c r="CD89" s="99"/>
    </row>
    <row r="90" spans="47:141" ht="6" customHeight="1" x14ac:dyDescent="0.35">
      <c r="AU90" s="82"/>
      <c r="AV90" s="83"/>
      <c r="AW90" s="83"/>
      <c r="AX90" s="83"/>
      <c r="AY90" s="83"/>
      <c r="AZ90" s="83"/>
      <c r="BA90" s="83"/>
      <c r="BB90" s="83"/>
      <c r="BC90" s="83"/>
      <c r="BD90" s="83"/>
      <c r="BE90" s="83"/>
      <c r="BF90" s="83"/>
      <c r="BG90" s="83"/>
      <c r="BH90" s="83"/>
      <c r="BI90" s="83"/>
      <c r="BJ90" s="83"/>
      <c r="BK90" s="83"/>
      <c r="BL90" s="83"/>
      <c r="BM90" s="83"/>
      <c r="BN90" s="83"/>
      <c r="BO90" s="84"/>
      <c r="BP90" s="101"/>
      <c r="BQ90" s="101"/>
      <c r="BR90" s="101"/>
      <c r="BS90" s="101"/>
      <c r="BT90" s="101"/>
      <c r="BU90" s="101"/>
      <c r="BV90" s="101"/>
      <c r="BW90" s="101"/>
      <c r="BX90" s="101"/>
      <c r="BY90" s="101"/>
      <c r="BZ90" s="94"/>
      <c r="CA90" s="95"/>
      <c r="CB90" s="95"/>
      <c r="CC90" s="95"/>
      <c r="CD90" s="96"/>
    </row>
    <row r="91" spans="47:141" ht="6" customHeight="1" x14ac:dyDescent="0.35">
      <c r="AU91" s="85"/>
      <c r="AV91" s="86"/>
      <c r="AW91" s="86"/>
      <c r="AX91" s="86"/>
      <c r="AY91" s="86"/>
      <c r="AZ91" s="86"/>
      <c r="BA91" s="86"/>
      <c r="BB91" s="86"/>
      <c r="BC91" s="86"/>
      <c r="BD91" s="86"/>
      <c r="BE91" s="86"/>
      <c r="BF91" s="86"/>
      <c r="BG91" s="86"/>
      <c r="BH91" s="86"/>
      <c r="BI91" s="86"/>
      <c r="BJ91" s="86"/>
      <c r="BK91" s="86"/>
      <c r="BL91" s="86"/>
      <c r="BM91" s="86"/>
      <c r="BN91" s="86"/>
      <c r="BO91" s="87"/>
      <c r="BP91" s="101"/>
      <c r="BQ91" s="101"/>
      <c r="BR91" s="101"/>
      <c r="BS91" s="101"/>
      <c r="BT91" s="101"/>
      <c r="BU91" s="101"/>
      <c r="BV91" s="101"/>
      <c r="BW91" s="101"/>
      <c r="BX91" s="101"/>
      <c r="BY91" s="101"/>
      <c r="BZ91" s="97"/>
      <c r="CA91" s="98"/>
      <c r="CB91" s="98"/>
      <c r="CC91" s="98"/>
      <c r="CD91" s="99"/>
    </row>
    <row r="92" spans="47:141" ht="6" customHeight="1" x14ac:dyDescent="0.35">
      <c r="AU92" s="48"/>
      <c r="AV92" s="48"/>
      <c r="AW92" s="48"/>
      <c r="AX92" s="48"/>
      <c r="AY92" s="48"/>
      <c r="AZ92" s="48"/>
      <c r="BA92" s="48"/>
      <c r="BB92" s="48"/>
      <c r="BC92" s="48"/>
      <c r="BD92" s="48"/>
      <c r="BE92" s="48"/>
      <c r="BF92" s="48"/>
      <c r="BG92" s="48"/>
      <c r="BH92" s="48"/>
      <c r="BI92" s="48"/>
      <c r="BJ92" s="48"/>
      <c r="BK92" s="48"/>
      <c r="BL92" s="48"/>
      <c r="BM92" s="48"/>
      <c r="BN92" s="48"/>
      <c r="BO92" s="48"/>
      <c r="BP92" s="48"/>
      <c r="BQ92" s="48"/>
      <c r="BR92" s="48"/>
      <c r="BS92" s="48"/>
      <c r="BT92" s="48"/>
      <c r="BU92" s="48"/>
      <c r="BV92" s="48"/>
      <c r="BW92" s="48"/>
      <c r="BX92" s="48"/>
      <c r="BY92" s="48"/>
      <c r="BZ92" s="48"/>
      <c r="CA92" s="48"/>
      <c r="CB92" s="48"/>
      <c r="CC92" s="48"/>
      <c r="CD92" s="48"/>
    </row>
    <row r="93" spans="47:141" ht="6" customHeight="1" x14ac:dyDescent="0.35">
      <c r="AU93" s="100" t="s">
        <v>23</v>
      </c>
      <c r="AV93" s="100"/>
      <c r="AW93" s="100"/>
      <c r="AX93" s="100"/>
      <c r="AY93" s="100"/>
      <c r="AZ93" s="100"/>
      <c r="BA93" s="100"/>
      <c r="BB93" s="100"/>
      <c r="BC93" s="100"/>
      <c r="BD93" s="100"/>
      <c r="BE93" s="100"/>
      <c r="BF93" s="100"/>
      <c r="BG93" s="100"/>
      <c r="BH93" s="88"/>
      <c r="BI93" s="89"/>
      <c r="BJ93" s="89"/>
      <c r="BK93" s="89"/>
      <c r="BL93" s="89"/>
      <c r="BM93" s="89"/>
      <c r="BN93" s="89"/>
      <c r="BO93" s="89"/>
      <c r="BP93" s="89"/>
      <c r="BQ93" s="89"/>
      <c r="BR93" s="89"/>
      <c r="BS93" s="89"/>
      <c r="BT93" s="89"/>
      <c r="BU93" s="89"/>
      <c r="BV93" s="89"/>
      <c r="BW93" s="89"/>
      <c r="BX93" s="89"/>
      <c r="BY93" s="89"/>
      <c r="BZ93" s="89"/>
      <c r="CA93" s="89"/>
      <c r="CB93" s="89"/>
      <c r="CC93" s="89"/>
      <c r="CD93" s="90"/>
      <c r="DT93" s="62"/>
      <c r="DU93" s="62"/>
      <c r="DV93" s="62"/>
      <c r="DW93" s="62"/>
      <c r="DX93" s="62"/>
      <c r="DY93" s="62"/>
      <c r="DZ93" s="62"/>
      <c r="EA93" s="62"/>
      <c r="EB93" s="62"/>
      <c r="EC93" s="62"/>
      <c r="ED93" s="62"/>
      <c r="EE93" s="62"/>
      <c r="EF93" s="62"/>
      <c r="EG93" s="62"/>
      <c r="EH93" s="62"/>
      <c r="EI93" s="62"/>
      <c r="EJ93" s="62"/>
      <c r="EK93" s="62"/>
    </row>
    <row r="94" spans="47:141" ht="6" customHeight="1" x14ac:dyDescent="0.35">
      <c r="AU94" s="100"/>
      <c r="AV94" s="100"/>
      <c r="AW94" s="100"/>
      <c r="AX94" s="100"/>
      <c r="AY94" s="100"/>
      <c r="AZ94" s="100"/>
      <c r="BA94" s="100"/>
      <c r="BB94" s="100"/>
      <c r="BC94" s="100"/>
      <c r="BD94" s="100"/>
      <c r="BE94" s="100"/>
      <c r="BF94" s="100"/>
      <c r="BG94" s="100"/>
      <c r="BH94" s="91"/>
      <c r="BI94" s="92"/>
      <c r="BJ94" s="92"/>
      <c r="BK94" s="92"/>
      <c r="BL94" s="92"/>
      <c r="BM94" s="92"/>
      <c r="BN94" s="92"/>
      <c r="BO94" s="92"/>
      <c r="BP94" s="92"/>
      <c r="BQ94" s="92"/>
      <c r="BR94" s="92"/>
      <c r="BS94" s="92"/>
      <c r="BT94" s="92"/>
      <c r="BU94" s="92"/>
      <c r="BV94" s="92"/>
      <c r="BW94" s="92"/>
      <c r="BX94" s="92"/>
      <c r="BY94" s="92"/>
      <c r="BZ94" s="92"/>
      <c r="CA94" s="92"/>
      <c r="CB94" s="92"/>
      <c r="CC94" s="92"/>
      <c r="CD94" s="93"/>
      <c r="DT94" s="62"/>
      <c r="DU94" s="62"/>
      <c r="DV94" s="62"/>
      <c r="DW94" s="62"/>
      <c r="DX94" s="62"/>
      <c r="DY94" s="62"/>
      <c r="DZ94" s="62"/>
      <c r="EA94" s="62"/>
      <c r="EB94" s="62"/>
      <c r="EC94" s="62"/>
      <c r="ED94" s="62"/>
      <c r="EE94" s="62"/>
      <c r="EF94" s="62"/>
      <c r="EG94" s="62"/>
      <c r="EH94" s="62"/>
      <c r="EI94" s="62"/>
      <c r="EJ94" s="62"/>
      <c r="EK94" s="62"/>
    </row>
    <row r="95" spans="47:141" ht="6" customHeight="1" x14ac:dyDescent="0.35">
      <c r="DT95" s="62"/>
      <c r="DU95" s="62"/>
      <c r="DV95" s="62"/>
      <c r="DW95" s="62"/>
      <c r="DX95" s="62"/>
      <c r="DY95" s="62"/>
      <c r="DZ95" s="62"/>
      <c r="EA95" s="62"/>
      <c r="EB95" s="62"/>
      <c r="EC95" s="62"/>
      <c r="ED95" s="62"/>
      <c r="EE95" s="62"/>
      <c r="EF95" s="62"/>
      <c r="EG95" s="62"/>
      <c r="EH95" s="62"/>
      <c r="EI95" s="62"/>
      <c r="EJ95" s="62"/>
      <c r="EK95" s="62"/>
    </row>
    <row r="96" spans="47:141" ht="6" customHeight="1" x14ac:dyDescent="0.35">
      <c r="AU96" s="100" t="s">
        <v>24</v>
      </c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2"/>
      <c r="BH96" s="88"/>
      <c r="BI96" s="89"/>
      <c r="BJ96" s="89"/>
      <c r="BK96" s="89"/>
      <c r="BL96" s="89"/>
      <c r="BM96" s="89"/>
      <c r="BN96" s="89"/>
      <c r="BO96" s="89"/>
      <c r="BP96" s="89"/>
      <c r="BQ96" s="89"/>
      <c r="BR96" s="89"/>
      <c r="BS96" s="89"/>
      <c r="BT96" s="89"/>
      <c r="BU96" s="89"/>
      <c r="BV96" s="89"/>
      <c r="BW96" s="89"/>
      <c r="BX96" s="89"/>
      <c r="BY96" s="89"/>
      <c r="BZ96" s="89"/>
      <c r="CA96" s="89"/>
      <c r="CB96" s="89"/>
      <c r="CC96" s="89"/>
      <c r="CD96" s="90"/>
      <c r="DT96" s="62"/>
      <c r="DU96" s="62"/>
      <c r="DV96" s="62"/>
      <c r="DW96" s="62"/>
      <c r="DX96" s="62"/>
      <c r="DY96" s="62"/>
      <c r="DZ96" s="62"/>
      <c r="EA96" s="62"/>
      <c r="EB96" s="62"/>
      <c r="EC96" s="62"/>
      <c r="ED96" s="62"/>
      <c r="EE96" s="62"/>
      <c r="EF96" s="62"/>
      <c r="EG96" s="62"/>
      <c r="EH96" s="62"/>
      <c r="EI96" s="62"/>
      <c r="EJ96" s="62"/>
      <c r="EK96" s="62"/>
    </row>
    <row r="97" spans="47:181" ht="6" customHeight="1" x14ac:dyDescent="0.35"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2"/>
      <c r="BH97" s="91"/>
      <c r="BI97" s="92"/>
      <c r="BJ97" s="92"/>
      <c r="BK97" s="92"/>
      <c r="BL97" s="92"/>
      <c r="BM97" s="92"/>
      <c r="BN97" s="92"/>
      <c r="BO97" s="92"/>
      <c r="BP97" s="92"/>
      <c r="BQ97" s="92"/>
      <c r="BR97" s="92"/>
      <c r="BS97" s="92"/>
      <c r="BT97" s="92"/>
      <c r="BU97" s="92"/>
      <c r="BV97" s="92"/>
      <c r="BW97" s="92"/>
      <c r="BX97" s="92"/>
      <c r="BY97" s="92"/>
      <c r="BZ97" s="92"/>
      <c r="CA97" s="92"/>
      <c r="CB97" s="92"/>
      <c r="CC97" s="92"/>
      <c r="CD97" s="93"/>
      <c r="DT97" s="62"/>
      <c r="DU97" s="62"/>
      <c r="DV97" s="62"/>
      <c r="DW97" s="62"/>
      <c r="DX97" s="62"/>
      <c r="DY97" s="62"/>
      <c r="DZ97" s="62"/>
      <c r="EA97" s="62"/>
      <c r="EB97" s="62"/>
      <c r="EC97" s="62"/>
      <c r="ED97" s="62"/>
      <c r="EE97" s="62"/>
      <c r="EF97" s="62"/>
      <c r="EG97" s="62"/>
      <c r="EH97" s="62"/>
      <c r="EI97" s="62"/>
      <c r="EJ97" s="62"/>
      <c r="EK97" s="62"/>
    </row>
    <row r="98" spans="47:181" ht="6" customHeight="1" x14ac:dyDescent="0.35">
      <c r="BH98" s="88"/>
      <c r="BI98" s="89"/>
      <c r="BJ98" s="89"/>
      <c r="BK98" s="89"/>
      <c r="BL98" s="89"/>
      <c r="BM98" s="89"/>
      <c r="BN98" s="89"/>
      <c r="BO98" s="89"/>
      <c r="BP98" s="89"/>
      <c r="BQ98" s="89"/>
      <c r="BR98" s="89"/>
      <c r="BS98" s="89"/>
      <c r="BT98" s="89"/>
      <c r="BU98" s="89"/>
      <c r="BV98" s="89"/>
      <c r="BW98" s="89"/>
      <c r="BX98" s="89"/>
      <c r="BY98" s="89"/>
      <c r="BZ98" s="89"/>
      <c r="CA98" s="89"/>
      <c r="CB98" s="89"/>
      <c r="CC98" s="89"/>
      <c r="CD98" s="90"/>
      <c r="DT98" s="62"/>
      <c r="DU98" s="62"/>
      <c r="DV98" s="62"/>
      <c r="DW98" s="62"/>
      <c r="DX98" s="62"/>
      <c r="DY98" s="62"/>
      <c r="DZ98" s="62"/>
      <c r="EA98" s="62"/>
      <c r="EB98" s="62"/>
      <c r="EC98" s="62"/>
      <c r="ED98" s="62"/>
      <c r="EE98" s="62"/>
      <c r="EF98" s="62"/>
      <c r="EG98" s="62"/>
      <c r="EH98" s="62"/>
      <c r="EI98" s="62"/>
      <c r="EJ98" s="62"/>
      <c r="EK98" s="62"/>
    </row>
    <row r="99" spans="47:181" ht="6" customHeight="1" x14ac:dyDescent="0.35">
      <c r="BH99" s="91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  <c r="BU99" s="92"/>
      <c r="BV99" s="92"/>
      <c r="BW99" s="92"/>
      <c r="BX99" s="92"/>
      <c r="BY99" s="92"/>
      <c r="BZ99" s="92"/>
      <c r="CA99" s="92"/>
      <c r="CB99" s="92"/>
      <c r="CC99" s="92"/>
      <c r="CD99" s="93"/>
      <c r="DW99" s="62"/>
      <c r="DX99" s="62"/>
      <c r="DY99" s="62"/>
      <c r="DZ99" s="62"/>
      <c r="EA99" s="62"/>
      <c r="EB99" s="62"/>
      <c r="EC99" s="62"/>
      <c r="ED99" s="62"/>
      <c r="EE99" s="62"/>
      <c r="EF99" s="62"/>
      <c r="EG99" s="62"/>
      <c r="EH99" s="62"/>
      <c r="EI99" s="62"/>
      <c r="EJ99" s="62"/>
      <c r="EK99" s="62"/>
      <c r="EL99" s="62"/>
      <c r="EM99" s="62"/>
      <c r="EN99" s="62"/>
      <c r="EO99" s="62"/>
      <c r="EP99" s="62"/>
      <c r="EQ99" s="62"/>
      <c r="ER99" s="62"/>
      <c r="ES99" s="62"/>
      <c r="ET99" s="62"/>
      <c r="EU99" s="62"/>
      <c r="EV99" s="62"/>
      <c r="EW99" s="62"/>
      <c r="EX99" s="62"/>
      <c r="EY99" s="62"/>
      <c r="EZ99" s="62"/>
      <c r="FA99" s="62"/>
      <c r="FB99" s="62"/>
      <c r="FC99" s="62"/>
      <c r="FD99" s="62"/>
      <c r="FE99" s="62"/>
      <c r="FF99" s="62"/>
      <c r="FG99" s="62"/>
      <c r="FH99" s="62"/>
      <c r="FI99" s="62"/>
      <c r="FJ99" s="62"/>
      <c r="FK99" s="62"/>
      <c r="FL99" s="62"/>
      <c r="FM99" s="62"/>
      <c r="FN99" s="62"/>
      <c r="FO99" s="62"/>
      <c r="FP99" s="62"/>
      <c r="FQ99" s="62"/>
      <c r="FR99" s="62"/>
      <c r="FS99" s="62"/>
      <c r="FT99" s="62"/>
      <c r="FU99" s="62"/>
      <c r="FV99" s="62"/>
      <c r="FW99" s="62"/>
      <c r="FX99" s="62"/>
      <c r="FY99" s="62"/>
    </row>
    <row r="100" spans="47:181" ht="6" customHeight="1" x14ac:dyDescent="0.35">
      <c r="DV100" s="115" t="s">
        <v>27</v>
      </c>
      <c r="DW100" s="115"/>
      <c r="DX100" s="115"/>
      <c r="DY100" s="115"/>
      <c r="DZ100" s="128" t="s">
        <v>30</v>
      </c>
      <c r="EA100" s="128"/>
      <c r="EB100" s="128"/>
      <c r="EC100" s="128"/>
      <c r="ED100" s="130">
        <v>150</v>
      </c>
      <c r="EE100" s="131"/>
      <c r="EF100" s="131"/>
      <c r="EG100" s="131"/>
      <c r="EH100" s="132"/>
      <c r="EI100" s="51"/>
      <c r="EJ100" s="52"/>
      <c r="EK100" s="52"/>
      <c r="EL100" s="52"/>
      <c r="EM100" s="117" t="s">
        <v>29</v>
      </c>
      <c r="EN100" s="117"/>
      <c r="EO100" s="139"/>
      <c r="EP100" s="139"/>
      <c r="EQ100" s="139"/>
      <c r="ER100" s="139"/>
      <c r="ES100" s="139"/>
      <c r="ET100" s="117" t="s">
        <v>28</v>
      </c>
      <c r="EU100" s="117"/>
      <c r="EV100" s="140" t="e" cm="1">
        <f t="array" ref="EV100">SUM(-(DO7:DS16),DO25:DS36,BZ76:CD91,_Sum_Skill_Costs,)</f>
        <v>#REF!</v>
      </c>
      <c r="EW100" s="140"/>
      <c r="EX100" s="140"/>
      <c r="EY100" s="140"/>
      <c r="EZ100" s="140"/>
      <c r="FA100" s="53"/>
      <c r="FB100" s="53"/>
      <c r="FC100" s="53"/>
      <c r="FD100" s="53"/>
      <c r="FE100" s="53"/>
      <c r="FF100" s="53"/>
      <c r="FG100" s="53"/>
      <c r="FH100" s="117" t="s">
        <v>57</v>
      </c>
      <c r="FI100" s="117"/>
      <c r="FJ100" s="119" t="e">
        <f>ED100+EO100-EV100</f>
        <v>#REF!</v>
      </c>
      <c r="FK100" s="120"/>
      <c r="FL100" s="120"/>
      <c r="FM100" s="120"/>
      <c r="FN100" s="121"/>
      <c r="FO100" s="62"/>
      <c r="FP100" s="62"/>
      <c r="FQ100" s="62"/>
      <c r="FR100" s="62"/>
      <c r="FS100" s="62"/>
      <c r="FT100" s="62"/>
      <c r="FU100" s="62"/>
      <c r="FV100" s="62"/>
      <c r="FW100" s="62"/>
      <c r="FX100" s="62"/>
      <c r="FY100" s="62"/>
    </row>
    <row r="101" spans="47:181" ht="6" customHeight="1" x14ac:dyDescent="0.35">
      <c r="DV101" s="116"/>
      <c r="DW101" s="116"/>
      <c r="DX101" s="116"/>
      <c r="DY101" s="116"/>
      <c r="DZ101" s="129"/>
      <c r="EA101" s="129"/>
      <c r="EB101" s="129"/>
      <c r="EC101" s="129"/>
      <c r="ED101" s="133"/>
      <c r="EE101" s="134"/>
      <c r="EF101" s="134"/>
      <c r="EG101" s="134"/>
      <c r="EH101" s="135"/>
      <c r="EI101" s="51"/>
      <c r="EJ101" s="52"/>
      <c r="EK101" s="52"/>
      <c r="EL101" s="52"/>
      <c r="EM101" s="118"/>
      <c r="EN101" s="118"/>
      <c r="EO101" s="139"/>
      <c r="EP101" s="139"/>
      <c r="EQ101" s="139"/>
      <c r="ER101" s="139"/>
      <c r="ES101" s="139"/>
      <c r="ET101" s="118"/>
      <c r="EU101" s="118"/>
      <c r="EV101" s="140"/>
      <c r="EW101" s="140"/>
      <c r="EX101" s="140"/>
      <c r="EY101" s="140"/>
      <c r="EZ101" s="140"/>
      <c r="FA101" s="53"/>
      <c r="FB101" s="53"/>
      <c r="FC101" s="53"/>
      <c r="FD101" s="53"/>
      <c r="FE101" s="53"/>
      <c r="FF101" s="53"/>
      <c r="FG101" s="53"/>
      <c r="FH101" s="118"/>
      <c r="FI101" s="118"/>
      <c r="FJ101" s="122"/>
      <c r="FK101" s="123"/>
      <c r="FL101" s="123"/>
      <c r="FM101" s="123"/>
      <c r="FN101" s="124"/>
    </row>
    <row r="102" spans="47:181" ht="6" customHeight="1" x14ac:dyDescent="0.35">
      <c r="DV102" s="116"/>
      <c r="DW102" s="116"/>
      <c r="DX102" s="116"/>
      <c r="DY102" s="116"/>
      <c r="DZ102" s="129"/>
      <c r="EA102" s="129"/>
      <c r="EB102" s="129"/>
      <c r="EC102" s="129"/>
      <c r="ED102" s="136"/>
      <c r="EE102" s="137"/>
      <c r="EF102" s="137"/>
      <c r="EG102" s="137"/>
      <c r="EH102" s="138"/>
      <c r="EI102" s="51"/>
      <c r="EJ102" s="52"/>
      <c r="EK102" s="52"/>
      <c r="EL102" s="52"/>
      <c r="EM102" s="118"/>
      <c r="EN102" s="118"/>
      <c r="EO102" s="139"/>
      <c r="EP102" s="139"/>
      <c r="EQ102" s="139"/>
      <c r="ER102" s="139"/>
      <c r="ES102" s="139"/>
      <c r="ET102" s="118"/>
      <c r="EU102" s="118"/>
      <c r="EV102" s="140"/>
      <c r="EW102" s="140"/>
      <c r="EX102" s="140"/>
      <c r="EY102" s="140"/>
      <c r="EZ102" s="140"/>
      <c r="FA102" s="53"/>
      <c r="FB102" s="53"/>
      <c r="FC102" s="53"/>
      <c r="FD102" s="53"/>
      <c r="FE102" s="53"/>
      <c r="FF102" s="53"/>
      <c r="FG102" s="53"/>
      <c r="FH102" s="118"/>
      <c r="FI102" s="118"/>
      <c r="FJ102" s="125"/>
      <c r="FK102" s="126"/>
      <c r="FL102" s="126"/>
      <c r="FM102" s="126"/>
      <c r="FN102" s="127"/>
    </row>
  </sheetData>
  <mergeCells count="160">
    <mergeCell ref="AU7:AY10"/>
    <mergeCell ref="AZ5:BC6"/>
    <mergeCell ref="AZ7:BC10"/>
    <mergeCell ref="BV5:BY6"/>
    <mergeCell ref="BV7:BY10"/>
    <mergeCell ref="BZ5:CD6"/>
    <mergeCell ref="BZ7:CD10"/>
    <mergeCell ref="BM19:BU20"/>
    <mergeCell ref="AU11:BF13"/>
    <mergeCell ref="BD5:BU10"/>
    <mergeCell ref="BV19:CD20"/>
    <mergeCell ref="AU19:BC20"/>
    <mergeCell ref="BD19:BL20"/>
    <mergeCell ref="BG11:BH13"/>
    <mergeCell ref="BM44:CD46"/>
    <mergeCell ref="BM52:CD53"/>
    <mergeCell ref="BD22:BO24"/>
    <mergeCell ref="BP22:BQ24"/>
    <mergeCell ref="BD47:BL51"/>
    <mergeCell ref="AU82:BO83"/>
    <mergeCell ref="AU84:BO85"/>
    <mergeCell ref="AU86:BO87"/>
    <mergeCell ref="AU88:BO89"/>
    <mergeCell ref="BV41:CD42"/>
    <mergeCell ref="BV27:CD32"/>
    <mergeCell ref="BV21:CD26"/>
    <mergeCell ref="BD30:BL31"/>
    <mergeCell ref="BM30:BU31"/>
    <mergeCell ref="AU27:BC32"/>
    <mergeCell ref="BI33:BL35"/>
    <mergeCell ref="BU80:BY81"/>
    <mergeCell ref="AU67:CD68"/>
    <mergeCell ref="AU69:CD70"/>
    <mergeCell ref="AU71:CD72"/>
    <mergeCell ref="BZ74:CD75"/>
    <mergeCell ref="AU55:CD56"/>
    <mergeCell ref="AU57:CD58"/>
    <mergeCell ref="AU59:CD60"/>
    <mergeCell ref="AU90:BO91"/>
    <mergeCell ref="AU52:BC53"/>
    <mergeCell ref="BD52:BL53"/>
    <mergeCell ref="AU44:BF46"/>
    <mergeCell ref="BG44:BH46"/>
    <mergeCell ref="BD25:BL29"/>
    <mergeCell ref="AU21:BC26"/>
    <mergeCell ref="BR22:BU24"/>
    <mergeCell ref="BM41:BU42"/>
    <mergeCell ref="BI44:BL46"/>
    <mergeCell ref="AU47:BC51"/>
    <mergeCell ref="AU36:BC40"/>
    <mergeCell ref="BD36:BL40"/>
    <mergeCell ref="AU41:BC42"/>
    <mergeCell ref="BD41:BL42"/>
    <mergeCell ref="BM36:BU40"/>
    <mergeCell ref="BM47:CD51"/>
    <mergeCell ref="AU33:BF35"/>
    <mergeCell ref="BG33:BH35"/>
    <mergeCell ref="BM33:BX35"/>
    <mergeCell ref="BY33:BZ35"/>
    <mergeCell ref="CA33:CD35"/>
    <mergeCell ref="BV36:CD40"/>
    <mergeCell ref="BM25:BU29"/>
    <mergeCell ref="BR1:DH3"/>
    <mergeCell ref="G1:BI3"/>
    <mergeCell ref="DI1:DS3"/>
    <mergeCell ref="BJ1:BQ3"/>
    <mergeCell ref="AP5:AS6"/>
    <mergeCell ref="AL5:AO6"/>
    <mergeCell ref="BM14:BU18"/>
    <mergeCell ref="A1:F3"/>
    <mergeCell ref="AH5:AK6"/>
    <mergeCell ref="A5:AA6"/>
    <mergeCell ref="BM11:BX13"/>
    <mergeCell ref="BY11:BZ13"/>
    <mergeCell ref="BI11:BL13"/>
    <mergeCell ref="CA11:CD13"/>
    <mergeCell ref="AU14:BC18"/>
    <mergeCell ref="BD14:BL18"/>
    <mergeCell ref="BV14:CD18"/>
    <mergeCell ref="DO5:DS6"/>
    <mergeCell ref="CF5:DN6"/>
    <mergeCell ref="CF7:DN8"/>
    <mergeCell ref="DO7:DS8"/>
    <mergeCell ref="CF9:DN10"/>
    <mergeCell ref="DO9:DS10"/>
    <mergeCell ref="CF11:DN12"/>
    <mergeCell ref="AB5:AG6"/>
    <mergeCell ref="DO27:DS28"/>
    <mergeCell ref="DO29:DS30"/>
    <mergeCell ref="CF31:DN32"/>
    <mergeCell ref="DO31:DS32"/>
    <mergeCell ref="CF33:DN34"/>
    <mergeCell ref="CF25:DN26"/>
    <mergeCell ref="CF27:DN28"/>
    <mergeCell ref="CF29:DN30"/>
    <mergeCell ref="DO11:DS12"/>
    <mergeCell ref="CF13:DN14"/>
    <mergeCell ref="DO13:DS14"/>
    <mergeCell ref="CF15:DN16"/>
    <mergeCell ref="DO15:DS16"/>
    <mergeCell ref="CF17:DN18"/>
    <mergeCell ref="DO17:DS18"/>
    <mergeCell ref="CF19:DN20"/>
    <mergeCell ref="DO19:DS20"/>
    <mergeCell ref="CF21:DN22"/>
    <mergeCell ref="DO21:DS22"/>
    <mergeCell ref="CF23:DN24"/>
    <mergeCell ref="DO23:DS24"/>
    <mergeCell ref="DO33:DS34"/>
    <mergeCell ref="AU5:AY6"/>
    <mergeCell ref="DV100:DY102"/>
    <mergeCell ref="FH100:FI102"/>
    <mergeCell ref="FJ100:FN102"/>
    <mergeCell ref="DZ100:EC102"/>
    <mergeCell ref="ED100:EH102"/>
    <mergeCell ref="EM100:EN102"/>
    <mergeCell ref="EO100:ES102"/>
    <mergeCell ref="ET100:EU102"/>
    <mergeCell ref="EV100:EZ102"/>
    <mergeCell ref="BZ80:CD81"/>
    <mergeCell ref="BP80:BT81"/>
    <mergeCell ref="AU61:CD62"/>
    <mergeCell ref="AU63:CD64"/>
    <mergeCell ref="AU65:CD66"/>
    <mergeCell ref="AU74:BA75"/>
    <mergeCell ref="BU74:BY75"/>
    <mergeCell ref="BP74:BT75"/>
    <mergeCell ref="BB74:BO75"/>
    <mergeCell ref="AU76:BO77"/>
    <mergeCell ref="AU78:BO79"/>
    <mergeCell ref="BZ76:CD77"/>
    <mergeCell ref="BZ78:CD79"/>
    <mergeCell ref="BU76:BY77"/>
    <mergeCell ref="BP76:BT77"/>
    <mergeCell ref="BP78:BT79"/>
    <mergeCell ref="BU78:BY79"/>
    <mergeCell ref="CF35:DN36"/>
    <mergeCell ref="DO35:DS36"/>
    <mergeCell ref="DO25:DS26"/>
    <mergeCell ref="AU80:BO81"/>
    <mergeCell ref="BH98:CD99"/>
    <mergeCell ref="BZ88:CD89"/>
    <mergeCell ref="BZ90:CD91"/>
    <mergeCell ref="AU93:BG94"/>
    <mergeCell ref="BH93:CD94"/>
    <mergeCell ref="BZ82:CD83"/>
    <mergeCell ref="BZ84:CD85"/>
    <mergeCell ref="BZ86:CD87"/>
    <mergeCell ref="BP82:BT83"/>
    <mergeCell ref="BU82:BY83"/>
    <mergeCell ref="BP84:BT85"/>
    <mergeCell ref="BU84:BY85"/>
    <mergeCell ref="BP86:BT87"/>
    <mergeCell ref="BU86:BY87"/>
    <mergeCell ref="BP88:BT89"/>
    <mergeCell ref="BU88:BY89"/>
    <mergeCell ref="BP90:BT91"/>
    <mergeCell ref="BU90:BY91"/>
    <mergeCell ref="AU96:BG97"/>
    <mergeCell ref="BH96:CD97"/>
  </mergeCells>
  <pageMargins left="0.25" right="0.25" top="0.25" bottom="0.2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B560D-7F3A-47E4-9D26-D4A89009E1A8}">
  <dimension ref="A1"/>
  <sheetViews>
    <sheetView showGridLines="0" showRowColHeaders="0" workbookViewId="0">
      <selection activeCell="B4" sqref="B4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39BB0-920E-46EB-8501-EFED546FA274}">
  <dimension ref="A1:I2"/>
  <sheetViews>
    <sheetView workbookViewId="0">
      <selection activeCell="E2" sqref="E2"/>
    </sheetView>
  </sheetViews>
  <sheetFormatPr defaultRowHeight="14.5" x14ac:dyDescent="0.35"/>
  <cols>
    <col min="1" max="1" width="14.83203125" customWidth="1"/>
    <col min="2" max="2" width="15.83203125" customWidth="1"/>
    <col min="3" max="3" width="8.58203125" bestFit="1" customWidth="1"/>
    <col min="4" max="4" width="7.25" bestFit="1" customWidth="1"/>
    <col min="5" max="5" width="27.58203125" customWidth="1"/>
    <col min="6" max="6" width="27.25" customWidth="1"/>
    <col min="7" max="7" width="6.25" bestFit="1" customWidth="1"/>
    <col min="8" max="8" width="6.25" customWidth="1"/>
    <col min="9" max="9" width="8.33203125" bestFit="1" customWidth="1"/>
  </cols>
  <sheetData>
    <row r="1" spans="1:9" x14ac:dyDescent="0.35">
      <c r="A1" t="s">
        <v>460</v>
      </c>
      <c r="B1" t="s">
        <v>459</v>
      </c>
      <c r="C1" t="s">
        <v>117</v>
      </c>
      <c r="D1" t="s">
        <v>54</v>
      </c>
      <c r="E1" t="s">
        <v>615</v>
      </c>
      <c r="F1" t="s">
        <v>623</v>
      </c>
      <c r="G1" t="s">
        <v>55</v>
      </c>
      <c r="H1" t="s">
        <v>56</v>
      </c>
      <c r="I1" t="s">
        <v>620</v>
      </c>
    </row>
    <row r="2" spans="1:9" x14ac:dyDescent="0.35">
      <c r="A2" s="67" t="s">
        <v>538</v>
      </c>
      <c r="B2" s="67" t="s">
        <v>530</v>
      </c>
      <c r="C2" t="str">
        <f>_xlfn.IFNA(INDEX(Broad_Aspect[Aspect],MATCH(Proficiency[[#This Row],[Broad]],Broad_Aspect[Broad],0)),"")</f>
        <v>Body</v>
      </c>
      <c r="D2">
        <v>4</v>
      </c>
      <c r="F2" t="s">
        <v>292</v>
      </c>
      <c r="G2" s="68">
        <f>INDEX('Tier Constraints'!A33:N46,MATCH(Proficiency[[#This Row],[Rank]],'Tier Constraints'!A33:A46,0),MATCH(Proficiency[[#This Row],[ActTN]],'Tier Constraints'!A33:N33,0))</f>
        <v>1</v>
      </c>
      <c r="H2" s="67">
        <v>8</v>
      </c>
      <c r="I2">
        <f>IF(Proficiency[[#This Row],[Target]]&lt;=1,9,Proficiency[[#This Row],[Target]])</f>
        <v>8</v>
      </c>
    </row>
  </sheetData>
  <dataValidations count="1">
    <dataValidation type="whole" allowBlank="1" showInputMessage="1" showErrorMessage="1" errorTitle="Invalid Number" error="Only Whole numbers between 0 and 12 are valid Rank." sqref="D2" xr:uid="{7B7F38E7-20BB-4B95-8ECA-AF2EF61FB7DD}">
      <formula1>0</formula1>
      <formula2>12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BF2D5C7-0ACF-4FEA-93C4-1B0C8D3E4996}">
          <x14:formula1>
            <xm:f>'Skill List'!$A$2:$A$300</xm:f>
          </x14:formula1>
          <xm:sqref>A2</xm:sqref>
        </x14:dataValidation>
        <x14:dataValidation type="list" allowBlank="1" showInputMessage="1" showErrorMessage="1" xr:uid="{A1F9D8A4-01E6-4FBF-A087-778EABF24CBA}">
          <x14:formula1>
            <xm:f>'Skill List'!$I$17:$I$31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E6916-251F-4730-A892-4FFD0CE165DA}">
  <sheetPr codeName="Sheet6"/>
  <dimension ref="A1:AJ12"/>
  <sheetViews>
    <sheetView workbookViewId="0">
      <selection activeCell="AA3" sqref="AA3:AE4"/>
    </sheetView>
  </sheetViews>
  <sheetFormatPr defaultRowHeight="14.5" x14ac:dyDescent="0.35"/>
  <cols>
    <col min="1" max="21" width="4.08203125" customWidth="1"/>
    <col min="22" max="36" width="5" customWidth="1"/>
  </cols>
  <sheetData>
    <row r="1" spans="1:36" x14ac:dyDescent="0.35">
      <c r="A1" s="253" t="s">
        <v>22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53"/>
      <c r="Y1" s="253"/>
      <c r="Z1" s="253"/>
      <c r="AA1" s="253"/>
      <c r="AB1" s="253"/>
      <c r="AC1" s="253"/>
      <c r="AD1" s="253"/>
      <c r="AE1" s="253"/>
      <c r="AF1" s="253"/>
      <c r="AG1" s="253"/>
      <c r="AH1" s="253"/>
      <c r="AI1" s="253"/>
      <c r="AJ1" s="253"/>
    </row>
    <row r="2" spans="1:36" x14ac:dyDescent="0.35">
      <c r="A2" s="254" t="s">
        <v>52</v>
      </c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255" t="s">
        <v>132</v>
      </c>
      <c r="W2" s="255"/>
      <c r="X2" s="255"/>
      <c r="Y2" s="255"/>
      <c r="Z2" s="255"/>
      <c r="AA2" s="255" t="s">
        <v>133</v>
      </c>
      <c r="AB2" s="255"/>
      <c r="AC2" s="255"/>
      <c r="AD2" s="255"/>
      <c r="AE2" s="255"/>
      <c r="AF2" s="254" t="s">
        <v>21</v>
      </c>
      <c r="AG2" s="254"/>
      <c r="AH2" s="254"/>
      <c r="AI2" s="254"/>
      <c r="AJ2" s="254"/>
    </row>
    <row r="3" spans="1:36" x14ac:dyDescent="0.35">
      <c r="A3" s="242" t="s">
        <v>47</v>
      </c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4"/>
      <c r="V3" s="248">
        <v>3</v>
      </c>
      <c r="W3" s="248"/>
      <c r="X3" s="248"/>
      <c r="Y3" s="248"/>
      <c r="Z3" s="248"/>
      <c r="AA3" s="248">
        <v>2</v>
      </c>
      <c r="AB3" s="248"/>
      <c r="AC3" s="248"/>
      <c r="AD3" s="248"/>
      <c r="AE3" s="248"/>
      <c r="AF3" s="249">
        <v>0</v>
      </c>
      <c r="AG3" s="249"/>
      <c r="AH3" s="249"/>
      <c r="AI3" s="249"/>
      <c r="AJ3" s="250"/>
    </row>
    <row r="4" spans="1:36" x14ac:dyDescent="0.35">
      <c r="A4" s="245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7"/>
      <c r="V4" s="248"/>
      <c r="W4" s="248"/>
      <c r="X4" s="248"/>
      <c r="Y4" s="248"/>
      <c r="Z4" s="248"/>
      <c r="AA4" s="248"/>
      <c r="AB4" s="248"/>
      <c r="AC4" s="248"/>
      <c r="AD4" s="248"/>
      <c r="AE4" s="248"/>
      <c r="AF4" s="251"/>
      <c r="AG4" s="251"/>
      <c r="AH4" s="251"/>
      <c r="AI4" s="251"/>
      <c r="AJ4" s="252"/>
    </row>
    <row r="5" spans="1:36" x14ac:dyDescent="0.35">
      <c r="A5" s="242" t="s">
        <v>48</v>
      </c>
      <c r="B5" s="243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4"/>
      <c r="V5" s="248">
        <v>1</v>
      </c>
      <c r="W5" s="248"/>
      <c r="X5" s="248"/>
      <c r="Y5" s="248"/>
      <c r="Z5" s="248"/>
      <c r="AA5" s="248">
        <v>0</v>
      </c>
      <c r="AB5" s="248"/>
      <c r="AC5" s="248"/>
      <c r="AD5" s="248"/>
      <c r="AE5" s="248"/>
      <c r="AF5" s="256">
        <v>0</v>
      </c>
      <c r="AG5" s="249"/>
      <c r="AH5" s="249"/>
      <c r="AI5" s="249"/>
      <c r="AJ5" s="250"/>
    </row>
    <row r="6" spans="1:36" x14ac:dyDescent="0.35">
      <c r="A6" s="245"/>
      <c r="B6" s="246"/>
      <c r="C6" s="246"/>
      <c r="D6" s="246"/>
      <c r="E6" s="246"/>
      <c r="F6" s="246"/>
      <c r="G6" s="246"/>
      <c r="H6" s="246"/>
      <c r="I6" s="246"/>
      <c r="J6" s="246"/>
      <c r="K6" s="246"/>
      <c r="L6" s="246"/>
      <c r="M6" s="246"/>
      <c r="N6" s="246"/>
      <c r="O6" s="246"/>
      <c r="P6" s="246"/>
      <c r="Q6" s="246"/>
      <c r="R6" s="246"/>
      <c r="S6" s="246"/>
      <c r="T6" s="246"/>
      <c r="U6" s="247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57"/>
      <c r="AG6" s="251"/>
      <c r="AH6" s="251"/>
      <c r="AI6" s="251"/>
      <c r="AJ6" s="252"/>
    </row>
    <row r="7" spans="1:36" x14ac:dyDescent="0.35">
      <c r="A7" s="242" t="s">
        <v>49</v>
      </c>
      <c r="B7" s="243"/>
      <c r="C7" s="243"/>
      <c r="D7" s="243"/>
      <c r="E7" s="243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4"/>
      <c r="V7" s="248">
        <v>4</v>
      </c>
      <c r="W7" s="248"/>
      <c r="X7" s="248"/>
      <c r="Y7" s="248"/>
      <c r="Z7" s="248"/>
      <c r="AA7" s="248">
        <v>3</v>
      </c>
      <c r="AB7" s="248"/>
      <c r="AC7" s="248"/>
      <c r="AD7" s="248"/>
      <c r="AE7" s="248"/>
      <c r="AF7" s="256">
        <v>0</v>
      </c>
      <c r="AG7" s="249"/>
      <c r="AH7" s="249"/>
      <c r="AI7" s="249"/>
      <c r="AJ7" s="250"/>
    </row>
    <row r="8" spans="1:36" x14ac:dyDescent="0.35">
      <c r="A8" s="245"/>
      <c r="B8" s="246"/>
      <c r="C8" s="246"/>
      <c r="D8" s="246"/>
      <c r="E8" s="246"/>
      <c r="F8" s="246"/>
      <c r="G8" s="246"/>
      <c r="H8" s="246"/>
      <c r="I8" s="246"/>
      <c r="J8" s="246"/>
      <c r="K8" s="246"/>
      <c r="L8" s="246"/>
      <c r="M8" s="246"/>
      <c r="N8" s="246"/>
      <c r="O8" s="246"/>
      <c r="P8" s="246"/>
      <c r="Q8" s="246"/>
      <c r="R8" s="246"/>
      <c r="S8" s="246"/>
      <c r="T8" s="246"/>
      <c r="U8" s="247"/>
      <c r="V8" s="248"/>
      <c r="W8" s="248"/>
      <c r="X8" s="248"/>
      <c r="Y8" s="248"/>
      <c r="Z8" s="248"/>
      <c r="AA8" s="248"/>
      <c r="AB8" s="248"/>
      <c r="AC8" s="248"/>
      <c r="AD8" s="248"/>
      <c r="AE8" s="248"/>
      <c r="AF8" s="257"/>
      <c r="AG8" s="251"/>
      <c r="AH8" s="251"/>
      <c r="AI8" s="251"/>
      <c r="AJ8" s="252"/>
    </row>
    <row r="9" spans="1:36" x14ac:dyDescent="0.35">
      <c r="A9" s="242" t="s">
        <v>50</v>
      </c>
      <c r="B9" s="243"/>
      <c r="C9" s="243"/>
      <c r="D9" s="243"/>
      <c r="E9" s="243"/>
      <c r="F9" s="243"/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4"/>
      <c r="V9" s="248">
        <v>2</v>
      </c>
      <c r="W9" s="248"/>
      <c r="X9" s="248"/>
      <c r="Y9" s="248"/>
      <c r="Z9" s="248"/>
      <c r="AA9" s="248">
        <v>1</v>
      </c>
      <c r="AB9" s="248"/>
      <c r="AC9" s="248"/>
      <c r="AD9" s="248"/>
      <c r="AE9" s="248"/>
      <c r="AF9" s="256">
        <v>0</v>
      </c>
      <c r="AG9" s="249"/>
      <c r="AH9" s="249"/>
      <c r="AI9" s="249"/>
      <c r="AJ9" s="250"/>
    </row>
    <row r="10" spans="1:36" x14ac:dyDescent="0.35">
      <c r="A10" s="245"/>
      <c r="B10" s="246"/>
      <c r="C10" s="246"/>
      <c r="D10" s="246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7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57"/>
      <c r="AG10" s="251"/>
      <c r="AH10" s="251"/>
      <c r="AI10" s="251"/>
      <c r="AJ10" s="252"/>
    </row>
    <row r="11" spans="1:36" x14ac:dyDescent="0.35">
      <c r="A11" s="242" t="s">
        <v>51</v>
      </c>
      <c r="B11" s="243"/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4"/>
      <c r="V11" s="248">
        <v>2</v>
      </c>
      <c r="W11" s="248"/>
      <c r="X11" s="248"/>
      <c r="Y11" s="248"/>
      <c r="Z11" s="248"/>
      <c r="AA11" s="248">
        <v>0</v>
      </c>
      <c r="AB11" s="248"/>
      <c r="AC11" s="248"/>
      <c r="AD11" s="248"/>
      <c r="AE11" s="248"/>
      <c r="AF11" s="256">
        <v>0</v>
      </c>
      <c r="AG11" s="249"/>
      <c r="AH11" s="249"/>
      <c r="AI11" s="249"/>
      <c r="AJ11" s="250"/>
    </row>
    <row r="12" spans="1:36" x14ac:dyDescent="0.35">
      <c r="A12" s="245"/>
      <c r="B12" s="246"/>
      <c r="C12" s="246"/>
      <c r="D12" s="246"/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6"/>
      <c r="P12" s="246"/>
      <c r="Q12" s="246"/>
      <c r="R12" s="246"/>
      <c r="S12" s="246"/>
      <c r="T12" s="246"/>
      <c r="U12" s="247"/>
      <c r="V12" s="248"/>
      <c r="W12" s="248"/>
      <c r="X12" s="248"/>
      <c r="Y12" s="248"/>
      <c r="Z12" s="248"/>
      <c r="AA12" s="248"/>
      <c r="AB12" s="248"/>
      <c r="AC12" s="248"/>
      <c r="AD12" s="248"/>
      <c r="AE12" s="248"/>
      <c r="AF12" s="257"/>
      <c r="AG12" s="251"/>
      <c r="AH12" s="251"/>
      <c r="AI12" s="251"/>
      <c r="AJ12" s="252"/>
    </row>
  </sheetData>
  <sheetProtection algorithmName="SHA-512" hashValue="y7GNDoaxi9+lUsLrA2nVeWJvYef+RS3ObdN48OXGUHHgEG99vC7vMCm11T7LvtZsCbHZ96TTx7mNk5lxC6MQ6A==" saltValue="3/72DYnno1AHMGefUkTCwQ==" spinCount="100000" sheet="1" objects="1" scenarios="1"/>
  <mergeCells count="25">
    <mergeCell ref="A9:U10"/>
    <mergeCell ref="V9:Z10"/>
    <mergeCell ref="AA9:AE10"/>
    <mergeCell ref="AF9:AJ10"/>
    <mergeCell ref="A11:U12"/>
    <mergeCell ref="V11:Z12"/>
    <mergeCell ref="AA11:AE12"/>
    <mergeCell ref="AF11:AJ12"/>
    <mergeCell ref="A5:U6"/>
    <mergeCell ref="V5:Z6"/>
    <mergeCell ref="AA5:AE6"/>
    <mergeCell ref="AF5:AJ6"/>
    <mergeCell ref="A7:U8"/>
    <mergeCell ref="V7:Z8"/>
    <mergeCell ref="AA7:AE8"/>
    <mergeCell ref="AF7:AJ8"/>
    <mergeCell ref="A3:U4"/>
    <mergeCell ref="V3:Z4"/>
    <mergeCell ref="AA3:AE4"/>
    <mergeCell ref="AF3:AJ4"/>
    <mergeCell ref="A1:AJ1"/>
    <mergeCell ref="A2:U2"/>
    <mergeCell ref="V2:Z2"/>
    <mergeCell ref="AA2:AE2"/>
    <mergeCell ref="AF2:AJ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CC427-0665-48F5-A115-BBDE730367F4}">
  <sheetPr codeName="Sheet5"/>
  <dimension ref="A1:N45"/>
  <sheetViews>
    <sheetView showGridLines="0" showRowColHeaders="0" workbookViewId="0">
      <selection activeCell="C22" sqref="C22:H22"/>
    </sheetView>
  </sheetViews>
  <sheetFormatPr defaultRowHeight="14.5" x14ac:dyDescent="0.35"/>
  <cols>
    <col min="1" max="1" width="4.75" style="42" bestFit="1" customWidth="1"/>
    <col min="2" max="2" width="9.83203125" bestFit="1" customWidth="1"/>
    <col min="3" max="4" width="10" bestFit="1" customWidth="1"/>
    <col min="11" max="11" width="4.33203125" bestFit="1" customWidth="1"/>
    <col min="12" max="12" width="3.58203125" customWidth="1"/>
    <col min="13" max="13" width="8.58203125" bestFit="1" customWidth="1"/>
    <col min="14" max="14" width="4.58203125" bestFit="1" customWidth="1"/>
  </cols>
  <sheetData>
    <row r="1" spans="1:9" ht="15" thickBot="1" x14ac:dyDescent="0.4">
      <c r="A1" s="54" t="s">
        <v>21</v>
      </c>
      <c r="B1" s="269" t="s">
        <v>85</v>
      </c>
      <c r="C1" s="269"/>
      <c r="D1" s="269"/>
      <c r="E1" s="269"/>
      <c r="F1" s="269"/>
      <c r="G1" s="269"/>
      <c r="H1" s="269"/>
      <c r="I1" s="270"/>
    </row>
    <row r="2" spans="1:9" x14ac:dyDescent="0.35">
      <c r="A2" s="55">
        <v>0</v>
      </c>
      <c r="B2" s="1" t="s">
        <v>56</v>
      </c>
      <c r="C2" s="263" t="s">
        <v>130</v>
      </c>
      <c r="D2" s="263"/>
      <c r="E2" s="263"/>
      <c r="F2" s="263"/>
      <c r="G2" s="263"/>
      <c r="H2" s="263"/>
      <c r="I2" s="263"/>
    </row>
    <row r="3" spans="1:9" x14ac:dyDescent="0.35">
      <c r="A3" s="55">
        <v>1</v>
      </c>
      <c r="B3" s="2" t="s">
        <v>58</v>
      </c>
      <c r="C3" s="271" t="s">
        <v>129</v>
      </c>
      <c r="D3" s="271"/>
      <c r="E3" s="271"/>
      <c r="F3" s="271"/>
      <c r="G3" s="271"/>
      <c r="H3" s="271"/>
      <c r="I3" s="271"/>
    </row>
    <row r="4" spans="1:9" x14ac:dyDescent="0.35">
      <c r="A4" s="55">
        <v>2</v>
      </c>
      <c r="B4" s="1" t="s">
        <v>59</v>
      </c>
      <c r="C4" s="263" t="s">
        <v>286</v>
      </c>
      <c r="D4" s="263"/>
      <c r="E4" s="263"/>
      <c r="F4" s="263"/>
      <c r="G4" s="263"/>
      <c r="H4" s="263"/>
      <c r="I4" s="263"/>
    </row>
    <row r="5" spans="1:9" x14ac:dyDescent="0.35">
      <c r="A5" s="55">
        <v>3</v>
      </c>
      <c r="B5" s="2" t="s">
        <v>61</v>
      </c>
      <c r="C5" s="271" t="s">
        <v>284</v>
      </c>
      <c r="D5" s="271"/>
      <c r="E5" s="271"/>
      <c r="F5" s="271"/>
      <c r="G5" s="271"/>
      <c r="H5" s="271"/>
      <c r="I5" s="271"/>
    </row>
    <row r="6" spans="1:9" x14ac:dyDescent="0.35">
      <c r="A6" s="55">
        <v>4</v>
      </c>
      <c r="B6" s="1" t="s">
        <v>60</v>
      </c>
      <c r="C6" s="263" t="s">
        <v>287</v>
      </c>
      <c r="D6" s="263"/>
      <c r="E6" s="263"/>
      <c r="F6" s="263"/>
      <c r="G6" s="263"/>
      <c r="H6" s="263"/>
      <c r="I6" s="263"/>
    </row>
    <row r="7" spans="1:9" x14ac:dyDescent="0.35">
      <c r="A7" s="55">
        <v>5</v>
      </c>
      <c r="B7" s="2" t="s">
        <v>62</v>
      </c>
      <c r="C7" s="271" t="s">
        <v>71</v>
      </c>
      <c r="D7" s="271"/>
      <c r="E7" s="271"/>
      <c r="F7" s="271"/>
      <c r="G7" s="271"/>
      <c r="H7" s="271"/>
      <c r="I7" s="271"/>
    </row>
    <row r="8" spans="1:9" x14ac:dyDescent="0.35">
      <c r="A8" s="55">
        <v>9</v>
      </c>
      <c r="B8" s="1" t="s">
        <v>131</v>
      </c>
      <c r="C8" s="263" t="s">
        <v>70</v>
      </c>
      <c r="D8" s="263"/>
      <c r="E8" s="263"/>
      <c r="F8" s="263"/>
      <c r="G8" s="263"/>
      <c r="H8" s="263"/>
      <c r="I8" s="263"/>
    </row>
    <row r="9" spans="1:9" x14ac:dyDescent="0.35">
      <c r="A9" s="55">
        <v>14</v>
      </c>
      <c r="B9" s="2" t="s">
        <v>103</v>
      </c>
      <c r="C9" s="271" t="s">
        <v>69</v>
      </c>
      <c r="D9" s="271"/>
      <c r="E9" s="271"/>
      <c r="F9" s="271"/>
      <c r="G9" s="271"/>
      <c r="H9" s="271"/>
      <c r="I9" s="271"/>
    </row>
    <row r="10" spans="1:9" x14ac:dyDescent="0.35">
      <c r="A10" s="55">
        <v>23</v>
      </c>
      <c r="B10" s="1" t="s">
        <v>63</v>
      </c>
      <c r="C10" s="263" t="s">
        <v>68</v>
      </c>
      <c r="D10" s="263"/>
      <c r="E10" s="263"/>
      <c r="F10" s="263"/>
      <c r="G10" s="263"/>
      <c r="H10" s="263"/>
      <c r="I10" s="263"/>
    </row>
    <row r="11" spans="1:9" x14ac:dyDescent="0.35">
      <c r="A11" s="55">
        <v>37</v>
      </c>
      <c r="B11" s="2" t="s">
        <v>64</v>
      </c>
      <c r="C11" s="271" t="s">
        <v>72</v>
      </c>
      <c r="D11" s="271"/>
      <c r="E11" s="271"/>
      <c r="F11" s="271"/>
      <c r="G11" s="271"/>
      <c r="H11" s="271"/>
      <c r="I11" s="271"/>
    </row>
    <row r="12" spans="1:9" x14ac:dyDescent="0.35">
      <c r="A12" s="55">
        <v>60</v>
      </c>
      <c r="B12" s="1" t="s">
        <v>65</v>
      </c>
      <c r="C12" s="263" t="s">
        <v>285</v>
      </c>
      <c r="D12" s="263"/>
      <c r="E12" s="263"/>
      <c r="F12" s="263"/>
      <c r="G12" s="263"/>
      <c r="H12" s="263"/>
      <c r="I12" s="263"/>
    </row>
    <row r="13" spans="1:9" x14ac:dyDescent="0.35">
      <c r="A13" s="55">
        <v>97</v>
      </c>
      <c r="B13" s="2" t="s">
        <v>66</v>
      </c>
      <c r="C13" s="271" t="s">
        <v>73</v>
      </c>
      <c r="D13" s="271"/>
      <c r="E13" s="271"/>
      <c r="F13" s="271"/>
      <c r="G13" s="271"/>
      <c r="H13" s="271"/>
      <c r="I13" s="271"/>
    </row>
    <row r="14" spans="1:9" ht="15" thickBot="1" x14ac:dyDescent="0.4">
      <c r="A14" s="56">
        <v>157</v>
      </c>
      <c r="B14" s="3" t="s">
        <v>67</v>
      </c>
      <c r="C14" s="258" t="s">
        <v>74</v>
      </c>
      <c r="D14" s="258"/>
      <c r="E14" s="258"/>
      <c r="F14" s="258"/>
      <c r="G14" s="258"/>
      <c r="H14" s="258"/>
      <c r="I14" s="259"/>
    </row>
    <row r="15" spans="1:9" ht="4.5" customHeight="1" thickBot="1" x14ac:dyDescent="0.4"/>
    <row r="16" spans="1:9" ht="15" thickBot="1" x14ac:dyDescent="0.4">
      <c r="A16" s="57" t="s">
        <v>21</v>
      </c>
      <c r="B16" s="260" t="s">
        <v>82</v>
      </c>
      <c r="C16" s="260"/>
      <c r="D16" s="260"/>
      <c r="E16" s="260"/>
      <c r="F16" s="260"/>
      <c r="G16" s="260"/>
      <c r="H16" s="261"/>
    </row>
    <row r="17" spans="1:14" x14ac:dyDescent="0.35">
      <c r="A17" s="58">
        <v>0</v>
      </c>
      <c r="B17" s="1" t="s">
        <v>75</v>
      </c>
      <c r="C17" s="262" t="s">
        <v>76</v>
      </c>
      <c r="D17" s="262"/>
      <c r="E17" s="262"/>
      <c r="F17" s="262"/>
      <c r="G17" s="262"/>
      <c r="H17" s="263"/>
      <c r="N17" s="34"/>
    </row>
    <row r="18" spans="1:14" x14ac:dyDescent="0.35">
      <c r="A18" s="58">
        <v>1</v>
      </c>
      <c r="B18" s="6">
        <v>3</v>
      </c>
      <c r="C18" s="264" t="s">
        <v>121</v>
      </c>
      <c r="D18" s="264"/>
      <c r="E18" s="264"/>
      <c r="F18" s="264"/>
      <c r="G18" s="264"/>
      <c r="H18" s="265"/>
    </row>
    <row r="19" spans="1:14" x14ac:dyDescent="0.35">
      <c r="A19" s="58">
        <v>2</v>
      </c>
      <c r="B19" s="1">
        <v>6</v>
      </c>
      <c r="C19" s="262" t="s">
        <v>122</v>
      </c>
      <c r="D19" s="262"/>
      <c r="E19" s="262"/>
      <c r="F19" s="262"/>
      <c r="G19" s="262"/>
      <c r="H19" s="263"/>
    </row>
    <row r="20" spans="1:14" x14ac:dyDescent="0.35">
      <c r="A20" s="58">
        <v>3</v>
      </c>
      <c r="B20" s="6" t="s">
        <v>617</v>
      </c>
      <c r="C20" s="264" t="s">
        <v>618</v>
      </c>
      <c r="D20" s="264"/>
      <c r="E20" s="264"/>
      <c r="F20" s="264"/>
      <c r="G20" s="264"/>
      <c r="H20" s="265"/>
    </row>
    <row r="21" spans="1:14" x14ac:dyDescent="0.35">
      <c r="A21" s="58">
        <v>4</v>
      </c>
      <c r="B21" s="1" t="s">
        <v>80</v>
      </c>
      <c r="C21" s="262" t="s">
        <v>619</v>
      </c>
      <c r="D21" s="262"/>
      <c r="E21" s="262"/>
      <c r="F21" s="262"/>
      <c r="G21" s="262"/>
      <c r="H21" s="263"/>
    </row>
    <row r="22" spans="1:14" x14ac:dyDescent="0.35">
      <c r="A22" s="58">
        <v>6</v>
      </c>
      <c r="B22" s="6" t="s">
        <v>81</v>
      </c>
      <c r="C22" s="264" t="s">
        <v>123</v>
      </c>
      <c r="D22" s="264"/>
      <c r="E22" s="264"/>
      <c r="F22" s="264"/>
      <c r="G22" s="264"/>
      <c r="H22" s="265"/>
    </row>
    <row r="23" spans="1:14" x14ac:dyDescent="0.35">
      <c r="A23" s="58">
        <v>10</v>
      </c>
      <c r="B23" s="1" t="s">
        <v>119</v>
      </c>
      <c r="C23" s="262" t="s">
        <v>125</v>
      </c>
      <c r="D23" s="262"/>
      <c r="E23" s="262"/>
      <c r="F23" s="262"/>
      <c r="G23" s="262"/>
      <c r="H23" s="263"/>
    </row>
    <row r="24" spans="1:14" x14ac:dyDescent="0.35">
      <c r="A24" s="58">
        <v>16</v>
      </c>
      <c r="B24" s="6" t="s">
        <v>118</v>
      </c>
      <c r="C24" s="264" t="s">
        <v>288</v>
      </c>
      <c r="D24" s="264"/>
      <c r="E24" s="264"/>
      <c r="F24" s="264"/>
      <c r="G24" s="264"/>
      <c r="H24" s="265"/>
    </row>
    <row r="25" spans="1:14" x14ac:dyDescent="0.35">
      <c r="A25" s="58">
        <v>26</v>
      </c>
      <c r="B25" s="1" t="s">
        <v>79</v>
      </c>
      <c r="C25" s="262" t="s">
        <v>124</v>
      </c>
      <c r="D25" s="262"/>
      <c r="E25" s="262"/>
      <c r="F25" s="262"/>
      <c r="G25" s="262"/>
      <c r="H25" s="263"/>
    </row>
    <row r="26" spans="1:14" x14ac:dyDescent="0.35">
      <c r="A26" s="58">
        <v>42</v>
      </c>
      <c r="B26" s="6" t="s">
        <v>78</v>
      </c>
      <c r="C26" s="264" t="s">
        <v>621</v>
      </c>
      <c r="D26" s="264"/>
      <c r="E26" s="264"/>
      <c r="F26" s="264"/>
      <c r="G26" s="264"/>
      <c r="H26" s="265"/>
    </row>
    <row r="27" spans="1:14" x14ac:dyDescent="0.35">
      <c r="A27" s="58">
        <v>68</v>
      </c>
      <c r="B27" s="1" t="s">
        <v>77</v>
      </c>
      <c r="C27" s="262" t="s">
        <v>622</v>
      </c>
      <c r="D27" s="262"/>
      <c r="E27" s="262"/>
      <c r="F27" s="262"/>
      <c r="G27" s="262"/>
      <c r="H27" s="263"/>
    </row>
    <row r="28" spans="1:14" x14ac:dyDescent="0.35">
      <c r="A28" s="58">
        <v>110</v>
      </c>
      <c r="B28" s="6" t="s">
        <v>120</v>
      </c>
      <c r="C28" s="264" t="s">
        <v>126</v>
      </c>
      <c r="D28" s="264"/>
      <c r="E28" s="264"/>
      <c r="F28" s="264"/>
      <c r="G28" s="264"/>
      <c r="H28" s="265"/>
    </row>
    <row r="29" spans="1:14" ht="15" thickBot="1" x14ac:dyDescent="0.4">
      <c r="A29" s="59">
        <v>178</v>
      </c>
      <c r="B29" s="3" t="s">
        <v>127</v>
      </c>
      <c r="C29" s="258" t="s">
        <v>128</v>
      </c>
      <c r="D29" s="258"/>
      <c r="E29" s="258"/>
      <c r="F29" s="258"/>
      <c r="G29" s="258"/>
      <c r="H29" s="259"/>
    </row>
    <row r="30" spans="1:14" ht="4.5" customHeight="1" thickBot="1" x14ac:dyDescent="0.4"/>
    <row r="31" spans="1:14" x14ac:dyDescent="0.35">
      <c r="A31" s="266" t="s">
        <v>83</v>
      </c>
      <c r="B31" s="267"/>
      <c r="C31" s="267"/>
      <c r="D31" s="268"/>
    </row>
    <row r="32" spans="1:14" ht="15" thickBot="1" x14ac:dyDescent="0.4">
      <c r="A32" s="35" t="s">
        <v>21</v>
      </c>
      <c r="B32" s="64" t="s">
        <v>281</v>
      </c>
      <c r="C32" s="36" t="s">
        <v>282</v>
      </c>
      <c r="D32" s="40" t="s">
        <v>283</v>
      </c>
    </row>
    <row r="33" spans="1:4" x14ac:dyDescent="0.35">
      <c r="A33" s="60">
        <v>0</v>
      </c>
      <c r="B33" s="37" t="s">
        <v>84</v>
      </c>
      <c r="C33" s="37" t="s">
        <v>84</v>
      </c>
      <c r="D33" s="38" t="s">
        <v>84</v>
      </c>
    </row>
    <row r="34" spans="1:4" x14ac:dyDescent="0.35">
      <c r="A34" s="60">
        <v>1</v>
      </c>
      <c r="B34" s="37" t="s">
        <v>84</v>
      </c>
      <c r="C34" s="37" t="s">
        <v>84</v>
      </c>
      <c r="D34" s="41">
        <v>1</v>
      </c>
    </row>
    <row r="35" spans="1:4" x14ac:dyDescent="0.35">
      <c r="A35" s="60">
        <v>2</v>
      </c>
      <c r="B35" s="37" t="s">
        <v>84</v>
      </c>
      <c r="C35" s="4">
        <v>1</v>
      </c>
      <c r="D35" s="38">
        <v>2</v>
      </c>
    </row>
    <row r="36" spans="1:4" x14ac:dyDescent="0.35">
      <c r="A36" s="60">
        <v>3</v>
      </c>
      <c r="B36" s="4">
        <v>1</v>
      </c>
      <c r="C36" s="37" t="s">
        <v>84</v>
      </c>
      <c r="D36" s="38">
        <v>3</v>
      </c>
    </row>
    <row r="37" spans="1:4" x14ac:dyDescent="0.35">
      <c r="A37" s="60">
        <v>4</v>
      </c>
      <c r="B37" s="37" t="s">
        <v>84</v>
      </c>
      <c r="C37" s="4">
        <v>2</v>
      </c>
      <c r="D37" s="38">
        <v>4</v>
      </c>
    </row>
    <row r="38" spans="1:4" x14ac:dyDescent="0.35">
      <c r="A38" s="60">
        <v>5</v>
      </c>
      <c r="B38" s="37" t="s">
        <v>84</v>
      </c>
      <c r="C38" s="37" t="s">
        <v>84</v>
      </c>
      <c r="D38" s="38">
        <v>5</v>
      </c>
    </row>
    <row r="39" spans="1:4" x14ac:dyDescent="0.35">
      <c r="A39" s="60">
        <v>6</v>
      </c>
      <c r="B39" s="4">
        <v>2</v>
      </c>
      <c r="C39" s="4">
        <v>3</v>
      </c>
      <c r="D39" s="38">
        <v>6</v>
      </c>
    </row>
    <row r="40" spans="1:4" x14ac:dyDescent="0.35">
      <c r="A40" s="60">
        <v>7</v>
      </c>
      <c r="B40" s="37" t="s">
        <v>84</v>
      </c>
      <c r="C40" s="37" t="s">
        <v>84</v>
      </c>
      <c r="D40" s="38">
        <v>7</v>
      </c>
    </row>
    <row r="41" spans="1:4" x14ac:dyDescent="0.35">
      <c r="A41" s="60">
        <v>8</v>
      </c>
      <c r="B41" s="37" t="s">
        <v>84</v>
      </c>
      <c r="C41" s="4">
        <v>4</v>
      </c>
      <c r="D41" s="38">
        <v>8</v>
      </c>
    </row>
    <row r="42" spans="1:4" x14ac:dyDescent="0.35">
      <c r="A42" s="60">
        <v>9</v>
      </c>
      <c r="B42" s="4">
        <v>3</v>
      </c>
      <c r="C42" s="37" t="s">
        <v>84</v>
      </c>
      <c r="D42" s="38">
        <v>9</v>
      </c>
    </row>
    <row r="43" spans="1:4" x14ac:dyDescent="0.35">
      <c r="A43" s="60">
        <v>10</v>
      </c>
      <c r="B43" s="37" t="s">
        <v>84</v>
      </c>
      <c r="C43" s="4">
        <v>5</v>
      </c>
      <c r="D43" s="38">
        <v>10</v>
      </c>
    </row>
    <row r="44" spans="1:4" x14ac:dyDescent="0.35">
      <c r="A44" s="60">
        <v>11</v>
      </c>
      <c r="B44" s="37" t="s">
        <v>84</v>
      </c>
      <c r="C44" s="37" t="s">
        <v>84</v>
      </c>
      <c r="D44" s="38">
        <v>11</v>
      </c>
    </row>
    <row r="45" spans="1:4" ht="15" thickBot="1" x14ac:dyDescent="0.4">
      <c r="A45" s="35">
        <v>12</v>
      </c>
      <c r="B45" s="5">
        <v>4</v>
      </c>
      <c r="C45" s="5">
        <v>6</v>
      </c>
      <c r="D45" s="39">
        <v>12</v>
      </c>
    </row>
  </sheetData>
  <mergeCells count="29">
    <mergeCell ref="A31:D31"/>
    <mergeCell ref="B1:I1"/>
    <mergeCell ref="C26:H26"/>
    <mergeCell ref="C14:I14"/>
    <mergeCell ref="C2:I2"/>
    <mergeCell ref="C3:I3"/>
    <mergeCell ref="C4:I4"/>
    <mergeCell ref="C5:I5"/>
    <mergeCell ref="C6:I6"/>
    <mergeCell ref="C7:I7"/>
    <mergeCell ref="C8:I8"/>
    <mergeCell ref="C9:I9"/>
    <mergeCell ref="C10:I10"/>
    <mergeCell ref="C11:I11"/>
    <mergeCell ref="C12:I12"/>
    <mergeCell ref="C13:I13"/>
    <mergeCell ref="C29:H29"/>
    <mergeCell ref="B16:H16"/>
    <mergeCell ref="C21:H21"/>
    <mergeCell ref="C22:H22"/>
    <mergeCell ref="C23:H23"/>
    <mergeCell ref="C24:H24"/>
    <mergeCell ref="C25:H25"/>
    <mergeCell ref="C17:H17"/>
    <mergeCell ref="C18:H18"/>
    <mergeCell ref="C19:H19"/>
    <mergeCell ref="C20:H20"/>
    <mergeCell ref="C27:H27"/>
    <mergeCell ref="C28:H28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B850D-1D0D-4F4A-94AB-D3CDA350686C}">
  <dimension ref="A1:C75"/>
  <sheetViews>
    <sheetView tabSelected="1" workbookViewId="0">
      <selection activeCell="C11" sqref="C11"/>
    </sheetView>
  </sheetViews>
  <sheetFormatPr defaultRowHeight="14.5" x14ac:dyDescent="0.35"/>
  <cols>
    <col min="1" max="1" width="19.08203125" bestFit="1" customWidth="1"/>
    <col min="2" max="2" width="8.58203125" style="66"/>
    <col min="3" max="3" width="116.83203125" bestFit="1" customWidth="1"/>
  </cols>
  <sheetData>
    <row r="1" spans="1:3" x14ac:dyDescent="0.35">
      <c r="A1" t="s">
        <v>289</v>
      </c>
      <c r="B1" s="66" t="s">
        <v>21</v>
      </c>
      <c r="C1" t="s">
        <v>354</v>
      </c>
    </row>
    <row r="2" spans="1:3" x14ac:dyDescent="0.35">
      <c r="A2" t="s">
        <v>290</v>
      </c>
      <c r="B2" s="66" t="s">
        <v>366</v>
      </c>
      <c r="C2" t="s">
        <v>367</v>
      </c>
    </row>
    <row r="3" spans="1:3" x14ac:dyDescent="0.35">
      <c r="A3" t="s">
        <v>320</v>
      </c>
      <c r="B3" s="276" t="s">
        <v>359</v>
      </c>
      <c r="C3" t="s">
        <v>405</v>
      </c>
    </row>
    <row r="4" spans="1:3" x14ac:dyDescent="0.35">
      <c r="A4" t="s">
        <v>291</v>
      </c>
      <c r="B4" s="66" t="s">
        <v>377</v>
      </c>
      <c r="C4" t="s">
        <v>355</v>
      </c>
    </row>
    <row r="5" spans="1:3" x14ac:dyDescent="0.35">
      <c r="A5" t="s">
        <v>292</v>
      </c>
      <c r="B5" s="66" t="s">
        <v>358</v>
      </c>
      <c r="C5" t="s">
        <v>356</v>
      </c>
    </row>
    <row r="6" spans="1:3" x14ac:dyDescent="0.35">
      <c r="A6" t="s">
        <v>321</v>
      </c>
      <c r="B6" s="276" t="s">
        <v>359</v>
      </c>
      <c r="C6" t="s">
        <v>406</v>
      </c>
    </row>
    <row r="7" spans="1:3" x14ac:dyDescent="0.35">
      <c r="A7" t="s">
        <v>293</v>
      </c>
      <c r="B7" s="66" t="s">
        <v>359</v>
      </c>
      <c r="C7" t="s">
        <v>360</v>
      </c>
    </row>
    <row r="8" spans="1:3" x14ac:dyDescent="0.35">
      <c r="A8" t="s">
        <v>294</v>
      </c>
      <c r="B8" s="66" t="s">
        <v>366</v>
      </c>
      <c r="C8" t="s">
        <v>368</v>
      </c>
    </row>
    <row r="9" spans="1:3" x14ac:dyDescent="0.35">
      <c r="A9" t="s">
        <v>407</v>
      </c>
      <c r="B9" s="66" t="s">
        <v>412</v>
      </c>
      <c r="C9" t="s">
        <v>413</v>
      </c>
    </row>
    <row r="10" spans="1:3" x14ac:dyDescent="0.35">
      <c r="A10" t="s">
        <v>295</v>
      </c>
      <c r="B10" s="66" t="s">
        <v>357</v>
      </c>
      <c r="C10" t="s">
        <v>364</v>
      </c>
    </row>
    <row r="11" spans="1:3" x14ac:dyDescent="0.35">
      <c r="A11" t="s">
        <v>296</v>
      </c>
      <c r="B11" s="66" t="s">
        <v>359</v>
      </c>
      <c r="C11" t="s">
        <v>365</v>
      </c>
    </row>
    <row r="12" spans="1:3" x14ac:dyDescent="0.35">
      <c r="A12" t="s">
        <v>410</v>
      </c>
      <c r="B12" s="66" t="s">
        <v>408</v>
      </c>
      <c r="C12" t="s">
        <v>409</v>
      </c>
    </row>
    <row r="13" spans="1:3" x14ac:dyDescent="0.35">
      <c r="A13" t="s">
        <v>322</v>
      </c>
      <c r="B13" s="66" t="s">
        <v>408</v>
      </c>
      <c r="C13" t="s">
        <v>414</v>
      </c>
    </row>
    <row r="14" spans="1:3" x14ac:dyDescent="0.35">
      <c r="A14" t="s">
        <v>297</v>
      </c>
      <c r="B14" s="66" t="s">
        <v>358</v>
      </c>
      <c r="C14" t="s">
        <v>369</v>
      </c>
    </row>
    <row r="15" spans="1:3" x14ac:dyDescent="0.35">
      <c r="A15" t="s">
        <v>298</v>
      </c>
      <c r="B15" s="66" t="s">
        <v>359</v>
      </c>
      <c r="C15" t="s">
        <v>370</v>
      </c>
    </row>
    <row r="16" spans="1:3" x14ac:dyDescent="0.35">
      <c r="A16" t="s">
        <v>323</v>
      </c>
      <c r="B16" s="66" t="s">
        <v>415</v>
      </c>
      <c r="C16" t="s">
        <v>416</v>
      </c>
    </row>
    <row r="17" spans="1:3" x14ac:dyDescent="0.35">
      <c r="A17" t="s">
        <v>299</v>
      </c>
      <c r="B17" s="66" t="s">
        <v>371</v>
      </c>
      <c r="C17" t="s">
        <v>374</v>
      </c>
    </row>
    <row r="18" spans="1:3" x14ac:dyDescent="0.35">
      <c r="A18" t="s">
        <v>324</v>
      </c>
      <c r="B18" s="66" t="s">
        <v>417</v>
      </c>
      <c r="C18" t="s">
        <v>418</v>
      </c>
    </row>
    <row r="19" spans="1:3" x14ac:dyDescent="0.35">
      <c r="A19" t="s">
        <v>300</v>
      </c>
      <c r="B19" s="66" t="s">
        <v>358</v>
      </c>
      <c r="C19" t="s">
        <v>372</v>
      </c>
    </row>
    <row r="20" spans="1:3" x14ac:dyDescent="0.35">
      <c r="A20" t="s">
        <v>411</v>
      </c>
      <c r="B20" s="66" t="s">
        <v>373</v>
      </c>
      <c r="C20" t="s">
        <v>397</v>
      </c>
    </row>
    <row r="21" spans="1:3" x14ac:dyDescent="0.35">
      <c r="A21" t="s">
        <v>325</v>
      </c>
      <c r="B21" s="66" t="s">
        <v>417</v>
      </c>
      <c r="C21" t="s">
        <v>419</v>
      </c>
    </row>
    <row r="22" spans="1:3" x14ac:dyDescent="0.35">
      <c r="A22" t="s">
        <v>326</v>
      </c>
      <c r="B22" s="66" t="s">
        <v>420</v>
      </c>
      <c r="C22" t="s">
        <v>421</v>
      </c>
    </row>
    <row r="23" spans="1:3" x14ac:dyDescent="0.35">
      <c r="A23" t="s">
        <v>327</v>
      </c>
      <c r="B23" s="66" t="s">
        <v>359</v>
      </c>
      <c r="C23" t="s">
        <v>422</v>
      </c>
    </row>
    <row r="24" spans="1:3" x14ac:dyDescent="0.35">
      <c r="A24" t="s">
        <v>328</v>
      </c>
      <c r="B24" s="66" t="s">
        <v>412</v>
      </c>
      <c r="C24" t="s">
        <v>423</v>
      </c>
    </row>
    <row r="25" spans="1:3" x14ac:dyDescent="0.35">
      <c r="A25" t="s">
        <v>301</v>
      </c>
      <c r="B25" s="66" t="s">
        <v>373</v>
      </c>
      <c r="C25" t="s">
        <v>375</v>
      </c>
    </row>
    <row r="26" spans="1:3" x14ac:dyDescent="0.35">
      <c r="A26" t="s">
        <v>329</v>
      </c>
      <c r="B26" s="66" t="s">
        <v>424</v>
      </c>
      <c r="C26" t="s">
        <v>425</v>
      </c>
    </row>
    <row r="27" spans="1:3" x14ac:dyDescent="0.35">
      <c r="A27" t="s">
        <v>426</v>
      </c>
      <c r="B27" s="66" t="s">
        <v>408</v>
      </c>
      <c r="C27" t="s">
        <v>427</v>
      </c>
    </row>
    <row r="28" spans="1:3" x14ac:dyDescent="0.35">
      <c r="A28" t="s">
        <v>379</v>
      </c>
      <c r="B28" s="66" t="s">
        <v>373</v>
      </c>
      <c r="C28" t="s">
        <v>380</v>
      </c>
    </row>
    <row r="29" spans="1:3" x14ac:dyDescent="0.35">
      <c r="A29" t="s">
        <v>362</v>
      </c>
      <c r="B29" s="66" t="s">
        <v>358</v>
      </c>
      <c r="C29" t="s">
        <v>363</v>
      </c>
    </row>
    <row r="30" spans="1:3" x14ac:dyDescent="0.35">
      <c r="A30" t="s">
        <v>330</v>
      </c>
      <c r="B30" s="66" t="s">
        <v>417</v>
      </c>
      <c r="C30" t="s">
        <v>428</v>
      </c>
    </row>
    <row r="31" spans="1:3" x14ac:dyDescent="0.35">
      <c r="A31" t="s">
        <v>302</v>
      </c>
      <c r="B31" s="66" t="s">
        <v>377</v>
      </c>
      <c r="C31" t="s">
        <v>376</v>
      </c>
    </row>
    <row r="32" spans="1:3" x14ac:dyDescent="0.35">
      <c r="A32" t="s">
        <v>331</v>
      </c>
      <c r="B32" s="66" t="s">
        <v>429</v>
      </c>
      <c r="C32" t="s">
        <v>430</v>
      </c>
    </row>
    <row r="33" spans="1:3" x14ac:dyDescent="0.35">
      <c r="A33" t="s">
        <v>440</v>
      </c>
      <c r="B33" s="66" t="s">
        <v>429</v>
      </c>
      <c r="C33" t="s">
        <v>441</v>
      </c>
    </row>
    <row r="34" spans="1:3" x14ac:dyDescent="0.35">
      <c r="A34" t="s">
        <v>304</v>
      </c>
      <c r="B34" s="66" t="s">
        <v>357</v>
      </c>
      <c r="C34" t="s">
        <v>381</v>
      </c>
    </row>
    <row r="35" spans="1:3" x14ac:dyDescent="0.35">
      <c r="A35" t="s">
        <v>305</v>
      </c>
      <c r="B35" s="66" t="s">
        <v>357</v>
      </c>
      <c r="C35" t="s">
        <v>382</v>
      </c>
    </row>
    <row r="36" spans="1:3" x14ac:dyDescent="0.35">
      <c r="A36" t="s">
        <v>306</v>
      </c>
      <c r="B36" s="66" t="s">
        <v>357</v>
      </c>
      <c r="C36" t="s">
        <v>383</v>
      </c>
    </row>
    <row r="37" spans="1:3" x14ac:dyDescent="0.35">
      <c r="A37" t="s">
        <v>307</v>
      </c>
      <c r="B37" s="66" t="s">
        <v>371</v>
      </c>
      <c r="C37" t="s">
        <v>384</v>
      </c>
    </row>
    <row r="38" spans="1:3" x14ac:dyDescent="0.35">
      <c r="A38" t="s">
        <v>332</v>
      </c>
      <c r="B38" s="66" t="s">
        <v>417</v>
      </c>
      <c r="C38" t="s">
        <v>433</v>
      </c>
    </row>
    <row r="39" spans="1:3" x14ac:dyDescent="0.35">
      <c r="A39" t="s">
        <v>308</v>
      </c>
      <c r="B39" s="66" t="s">
        <v>371</v>
      </c>
      <c r="C39" t="s">
        <v>385</v>
      </c>
    </row>
    <row r="40" spans="1:3" x14ac:dyDescent="0.35">
      <c r="A40" t="s">
        <v>309</v>
      </c>
      <c r="B40" s="66" t="s">
        <v>358</v>
      </c>
      <c r="C40" t="s">
        <v>386</v>
      </c>
    </row>
    <row r="41" spans="1:3" x14ac:dyDescent="0.35">
      <c r="A41" t="s">
        <v>333</v>
      </c>
      <c r="B41" s="66" t="s">
        <v>415</v>
      </c>
      <c r="C41" t="s">
        <v>434</v>
      </c>
    </row>
    <row r="42" spans="1:3" x14ac:dyDescent="0.35">
      <c r="A42" t="s">
        <v>334</v>
      </c>
      <c r="B42" s="66" t="s">
        <v>359</v>
      </c>
      <c r="C42" t="s">
        <v>435</v>
      </c>
    </row>
    <row r="43" spans="1:3" x14ac:dyDescent="0.35">
      <c r="A43" t="s">
        <v>335</v>
      </c>
      <c r="B43" s="66" t="s">
        <v>415</v>
      </c>
      <c r="C43" t="s">
        <v>436</v>
      </c>
    </row>
    <row r="44" spans="1:3" x14ac:dyDescent="0.35">
      <c r="A44" t="s">
        <v>336</v>
      </c>
      <c r="B44" s="66" t="s">
        <v>359</v>
      </c>
      <c r="C44" t="s">
        <v>437</v>
      </c>
    </row>
    <row r="45" spans="1:3" x14ac:dyDescent="0.35">
      <c r="A45" t="s">
        <v>431</v>
      </c>
      <c r="B45" s="66" t="s">
        <v>415</v>
      </c>
      <c r="C45" t="s">
        <v>432</v>
      </c>
    </row>
    <row r="46" spans="1:3" x14ac:dyDescent="0.35">
      <c r="A46" t="s">
        <v>337</v>
      </c>
      <c r="B46" s="66" t="s">
        <v>415</v>
      </c>
      <c r="C46" t="s">
        <v>438</v>
      </c>
    </row>
    <row r="47" spans="1:3" x14ac:dyDescent="0.35">
      <c r="A47" t="s">
        <v>338</v>
      </c>
      <c r="B47" s="66" t="s">
        <v>359</v>
      </c>
      <c r="C47" t="s">
        <v>439</v>
      </c>
    </row>
    <row r="48" spans="1:3" x14ac:dyDescent="0.35">
      <c r="A48" t="s">
        <v>339</v>
      </c>
      <c r="B48" s="66" t="s">
        <v>408</v>
      </c>
      <c r="C48" t="s">
        <v>442</v>
      </c>
    </row>
    <row r="49" spans="1:3" x14ac:dyDescent="0.35">
      <c r="A49" t="s">
        <v>340</v>
      </c>
      <c r="B49" s="66" t="s">
        <v>359</v>
      </c>
      <c r="C49" t="s">
        <v>443</v>
      </c>
    </row>
    <row r="50" spans="1:3" x14ac:dyDescent="0.35">
      <c r="A50" t="s">
        <v>388</v>
      </c>
      <c r="B50" s="66" t="s">
        <v>371</v>
      </c>
      <c r="C50" t="s">
        <v>387</v>
      </c>
    </row>
    <row r="51" spans="1:3" x14ac:dyDescent="0.35">
      <c r="A51" t="s">
        <v>310</v>
      </c>
      <c r="B51" s="66" t="s">
        <v>377</v>
      </c>
      <c r="C51" t="s">
        <v>389</v>
      </c>
    </row>
    <row r="52" spans="1:3" x14ac:dyDescent="0.35">
      <c r="A52" t="s">
        <v>311</v>
      </c>
      <c r="B52" s="66" t="s">
        <v>390</v>
      </c>
      <c r="C52" t="s">
        <v>391</v>
      </c>
    </row>
    <row r="53" spans="1:3" x14ac:dyDescent="0.35">
      <c r="A53" t="s">
        <v>392</v>
      </c>
      <c r="B53" s="66" t="s">
        <v>373</v>
      </c>
      <c r="C53" t="s">
        <v>396</v>
      </c>
    </row>
    <row r="54" spans="1:3" x14ac:dyDescent="0.35">
      <c r="A54" t="s">
        <v>312</v>
      </c>
      <c r="B54" s="66" t="s">
        <v>371</v>
      </c>
      <c r="C54" t="s">
        <v>393</v>
      </c>
    </row>
    <row r="55" spans="1:3" x14ac:dyDescent="0.35">
      <c r="A55" t="s">
        <v>303</v>
      </c>
      <c r="B55" s="66" t="s">
        <v>377</v>
      </c>
      <c r="C55" t="s">
        <v>378</v>
      </c>
    </row>
    <row r="56" spans="1:3" x14ac:dyDescent="0.35">
      <c r="A56" t="s">
        <v>313</v>
      </c>
      <c r="B56" s="66" t="s">
        <v>394</v>
      </c>
      <c r="C56" t="s">
        <v>395</v>
      </c>
    </row>
    <row r="57" spans="1:3" x14ac:dyDescent="0.35">
      <c r="A57" t="s">
        <v>341</v>
      </c>
      <c r="B57" s="66" t="s">
        <v>415</v>
      </c>
      <c r="C57" t="s">
        <v>444</v>
      </c>
    </row>
    <row r="58" spans="1:3" x14ac:dyDescent="0.35">
      <c r="A58" t="s">
        <v>342</v>
      </c>
      <c r="B58" s="66" t="s">
        <v>420</v>
      </c>
      <c r="C58" t="s">
        <v>445</v>
      </c>
    </row>
    <row r="59" spans="1:3" x14ac:dyDescent="0.35">
      <c r="A59" t="s">
        <v>343</v>
      </c>
      <c r="B59" s="66" t="s">
        <v>412</v>
      </c>
      <c r="C59" t="s">
        <v>446</v>
      </c>
    </row>
    <row r="60" spans="1:3" x14ac:dyDescent="0.35">
      <c r="A60" t="s">
        <v>344</v>
      </c>
      <c r="B60" s="66" t="s">
        <v>415</v>
      </c>
      <c r="C60" t="s">
        <v>447</v>
      </c>
    </row>
    <row r="61" spans="1:3" x14ac:dyDescent="0.35">
      <c r="A61" t="s">
        <v>314</v>
      </c>
      <c r="B61" s="66" t="s">
        <v>357</v>
      </c>
      <c r="C61" t="s">
        <v>398</v>
      </c>
    </row>
    <row r="62" spans="1:3" x14ac:dyDescent="0.35">
      <c r="A62" t="s">
        <v>345</v>
      </c>
      <c r="B62" s="66" t="s">
        <v>448</v>
      </c>
      <c r="C62" t="s">
        <v>449</v>
      </c>
    </row>
    <row r="63" spans="1:3" x14ac:dyDescent="0.35">
      <c r="A63" t="s">
        <v>346</v>
      </c>
      <c r="B63" s="66" t="s">
        <v>420</v>
      </c>
      <c r="C63" t="s">
        <v>450</v>
      </c>
    </row>
    <row r="64" spans="1:3" x14ac:dyDescent="0.35">
      <c r="A64" t="s">
        <v>315</v>
      </c>
      <c r="B64" s="66" t="s">
        <v>358</v>
      </c>
      <c r="C64" t="s">
        <v>399</v>
      </c>
    </row>
    <row r="65" spans="1:3" x14ac:dyDescent="0.35">
      <c r="A65" t="s">
        <v>316</v>
      </c>
      <c r="B65" s="66" t="s">
        <v>377</v>
      </c>
      <c r="C65" t="s">
        <v>400</v>
      </c>
    </row>
    <row r="66" spans="1:3" x14ac:dyDescent="0.35">
      <c r="A66" t="s">
        <v>347</v>
      </c>
      <c r="B66" s="66" t="s">
        <v>420</v>
      </c>
      <c r="C66" t="s">
        <v>451</v>
      </c>
    </row>
    <row r="67" spans="1:3" x14ac:dyDescent="0.35">
      <c r="A67" t="s">
        <v>348</v>
      </c>
      <c r="B67" s="66" t="s">
        <v>359</v>
      </c>
      <c r="C67" t="s">
        <v>452</v>
      </c>
    </row>
    <row r="68" spans="1:3" x14ac:dyDescent="0.35">
      <c r="A68" t="s">
        <v>349</v>
      </c>
      <c r="B68" s="66" t="s">
        <v>420</v>
      </c>
      <c r="C68" t="s">
        <v>453</v>
      </c>
    </row>
    <row r="69" spans="1:3" x14ac:dyDescent="0.35">
      <c r="A69" t="s">
        <v>350</v>
      </c>
      <c r="B69" s="66" t="s">
        <v>412</v>
      </c>
      <c r="C69" t="s">
        <v>454</v>
      </c>
    </row>
    <row r="70" spans="1:3" x14ac:dyDescent="0.35">
      <c r="A70" t="s">
        <v>317</v>
      </c>
      <c r="B70" s="66" t="s">
        <v>401</v>
      </c>
      <c r="C70" t="s">
        <v>402</v>
      </c>
    </row>
    <row r="71" spans="1:3" x14ac:dyDescent="0.35">
      <c r="A71" t="s">
        <v>318</v>
      </c>
      <c r="B71" s="66" t="s">
        <v>357</v>
      </c>
      <c r="C71" t="s">
        <v>403</v>
      </c>
    </row>
    <row r="72" spans="1:3" x14ac:dyDescent="0.35">
      <c r="A72" t="s">
        <v>319</v>
      </c>
      <c r="B72" s="66" t="s">
        <v>377</v>
      </c>
      <c r="C72" t="s">
        <v>404</v>
      </c>
    </row>
    <row r="73" spans="1:3" x14ac:dyDescent="0.35">
      <c r="A73" t="s">
        <v>351</v>
      </c>
      <c r="B73" s="66" t="s">
        <v>412</v>
      </c>
      <c r="C73" t="s">
        <v>455</v>
      </c>
    </row>
    <row r="74" spans="1:3" x14ac:dyDescent="0.35">
      <c r="A74" t="s">
        <v>352</v>
      </c>
      <c r="B74" s="276" t="s">
        <v>359</v>
      </c>
      <c r="C74" t="s">
        <v>456</v>
      </c>
    </row>
    <row r="75" spans="1:3" x14ac:dyDescent="0.35">
      <c r="A75" t="s">
        <v>353</v>
      </c>
      <c r="B75" s="66" t="s">
        <v>408</v>
      </c>
      <c r="C75" t="s">
        <v>457</v>
      </c>
    </row>
  </sheetData>
  <hyperlinks>
    <hyperlink ref="B74" location="Wanted!A1" display="varies" xr:uid="{C0975FE6-C0F1-4E3E-AB3D-D9C7AB8854BC}"/>
    <hyperlink ref="B3" location="'Characteristic Tables'!A10" display="varies" xr:uid="{F2288570-D709-4CDB-BC83-8CAC156131BB}"/>
    <hyperlink ref="B6" location="'Characteristic Tables'!A19" display="varies" xr:uid="{5E971B60-6C73-40F1-99F2-7607D1E3DCD8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2104E-7B85-491B-B0F5-4F9424120DA9}">
  <dimension ref="A1:W77"/>
  <sheetViews>
    <sheetView topLeftCell="A7" workbookViewId="0">
      <selection activeCell="A7" sqref="A7:C23"/>
    </sheetView>
  </sheetViews>
  <sheetFormatPr defaultRowHeight="14.5" x14ac:dyDescent="0.35"/>
  <cols>
    <col min="1" max="1" width="21.33203125" bestFit="1" customWidth="1"/>
    <col min="2" max="2" width="13.83203125" bestFit="1" customWidth="1"/>
    <col min="3" max="3" width="8.25" customWidth="1"/>
    <col min="4" max="4" width="84.25" bestFit="1" customWidth="1"/>
    <col min="5" max="5" width="1.5" customWidth="1"/>
    <col min="6" max="6" width="7.25" bestFit="1" customWidth="1"/>
    <col min="7" max="7" width="6.75" bestFit="1" customWidth="1"/>
    <col min="8" max="8" width="7.33203125" bestFit="1" customWidth="1"/>
    <col min="9" max="9" width="12.33203125" bestFit="1" customWidth="1"/>
    <col min="10" max="10" width="8.25" customWidth="1"/>
  </cols>
  <sheetData>
    <row r="1" spans="1:23" x14ac:dyDescent="0.35">
      <c r="A1" t="s">
        <v>460</v>
      </c>
      <c r="B1" t="s">
        <v>459</v>
      </c>
      <c r="C1" t="s">
        <v>117</v>
      </c>
      <c r="D1" t="s">
        <v>354</v>
      </c>
      <c r="F1" t="s">
        <v>54</v>
      </c>
      <c r="G1" t="s">
        <v>21</v>
      </c>
      <c r="H1" t="s">
        <v>142</v>
      </c>
      <c r="I1" s="65" t="s">
        <v>116</v>
      </c>
      <c r="K1" s="63" t="s">
        <v>143</v>
      </c>
      <c r="L1" s="63" t="s">
        <v>144</v>
      </c>
      <c r="M1" s="63" t="s">
        <v>145</v>
      </c>
      <c r="N1" s="63" t="s">
        <v>153</v>
      </c>
      <c r="O1" s="63" t="s">
        <v>155</v>
      </c>
      <c r="P1" s="63" t="s">
        <v>154</v>
      </c>
      <c r="Q1" s="63" t="s">
        <v>146</v>
      </c>
      <c r="R1" s="63" t="s">
        <v>147</v>
      </c>
      <c r="S1" s="63" t="s">
        <v>148</v>
      </c>
      <c r="T1" s="63" t="s">
        <v>149</v>
      </c>
      <c r="U1" s="63" t="s">
        <v>150</v>
      </c>
      <c r="V1" s="63" t="s">
        <v>151</v>
      </c>
      <c r="W1" s="63" t="s">
        <v>152</v>
      </c>
    </row>
    <row r="2" spans="1:23" x14ac:dyDescent="0.35">
      <c r="A2" t="s">
        <v>521</v>
      </c>
      <c r="B2" t="s">
        <v>41</v>
      </c>
      <c r="C2" t="s">
        <v>3</v>
      </c>
      <c r="D2" t="s">
        <v>553</v>
      </c>
      <c r="F2" s="61">
        <v>0</v>
      </c>
      <c r="G2" s="61">
        <v>0</v>
      </c>
      <c r="H2" s="61">
        <v>0</v>
      </c>
      <c r="I2" s="61" t="s">
        <v>458</v>
      </c>
      <c r="K2" s="63">
        <v>0</v>
      </c>
      <c r="L2" s="63">
        <v>1</v>
      </c>
      <c r="M2" s="63">
        <v>2</v>
      </c>
      <c r="N2" s="63">
        <v>3</v>
      </c>
      <c r="O2" s="63">
        <v>4</v>
      </c>
      <c r="P2" s="63">
        <v>5</v>
      </c>
      <c r="Q2" s="63">
        <v>6</v>
      </c>
      <c r="R2" s="63">
        <v>7</v>
      </c>
      <c r="S2" s="63">
        <v>8</v>
      </c>
      <c r="T2" s="63">
        <v>9</v>
      </c>
      <c r="U2" s="63">
        <v>10</v>
      </c>
      <c r="V2" s="63">
        <v>11</v>
      </c>
      <c r="W2" s="63">
        <v>12</v>
      </c>
    </row>
    <row r="3" spans="1:23" x14ac:dyDescent="0.35">
      <c r="A3" t="s">
        <v>496</v>
      </c>
      <c r="B3" t="s">
        <v>38</v>
      </c>
      <c r="C3" t="s">
        <v>5</v>
      </c>
      <c r="D3" t="s">
        <v>596</v>
      </c>
      <c r="F3" s="61">
        <v>1</v>
      </c>
      <c r="G3" s="61">
        <v>1</v>
      </c>
      <c r="H3" s="61">
        <f t="shared" ref="H3:H14" si="0">G3+H2</f>
        <v>1</v>
      </c>
      <c r="I3" s="61" t="s">
        <v>104</v>
      </c>
    </row>
    <row r="4" spans="1:23" x14ac:dyDescent="0.35">
      <c r="A4" t="s">
        <v>490</v>
      </c>
      <c r="B4" t="s">
        <v>36</v>
      </c>
      <c r="C4" t="s">
        <v>5</v>
      </c>
      <c r="D4" t="s">
        <v>585</v>
      </c>
      <c r="F4" s="61">
        <v>2</v>
      </c>
      <c r="G4" s="61">
        <v>2</v>
      </c>
      <c r="H4" s="61">
        <f t="shared" si="0"/>
        <v>3</v>
      </c>
      <c r="I4" s="61" t="s">
        <v>105</v>
      </c>
    </row>
    <row r="5" spans="1:23" x14ac:dyDescent="0.35">
      <c r="A5" t="s">
        <v>488</v>
      </c>
      <c r="B5" t="s">
        <v>36</v>
      </c>
      <c r="C5" t="s">
        <v>5</v>
      </c>
      <c r="D5" t="s">
        <v>586</v>
      </c>
      <c r="F5" s="61">
        <v>3</v>
      </c>
      <c r="G5" s="61">
        <v>3</v>
      </c>
      <c r="H5" s="61">
        <f t="shared" si="0"/>
        <v>6</v>
      </c>
      <c r="I5" s="61" t="s">
        <v>106</v>
      </c>
    </row>
    <row r="6" spans="1:23" x14ac:dyDescent="0.35">
      <c r="A6" t="s">
        <v>469</v>
      </c>
      <c r="B6" t="s">
        <v>33</v>
      </c>
      <c r="C6" t="s">
        <v>5</v>
      </c>
      <c r="D6" t="s">
        <v>571</v>
      </c>
      <c r="F6" s="61">
        <v>4</v>
      </c>
      <c r="G6" s="61">
        <v>4</v>
      </c>
      <c r="H6" s="61">
        <f t="shared" si="0"/>
        <v>10</v>
      </c>
      <c r="I6" s="61" t="s">
        <v>107</v>
      </c>
    </row>
    <row r="7" spans="1:23" x14ac:dyDescent="0.35">
      <c r="A7" t="s">
        <v>467</v>
      </c>
      <c r="B7" t="s">
        <v>32</v>
      </c>
      <c r="C7" t="s">
        <v>5</v>
      </c>
      <c r="D7" t="s">
        <v>564</v>
      </c>
      <c r="F7" s="61">
        <v>5</v>
      </c>
      <c r="G7" s="61">
        <v>5</v>
      </c>
      <c r="H7" s="61">
        <f t="shared" si="0"/>
        <v>15</v>
      </c>
      <c r="I7" s="61" t="s">
        <v>108</v>
      </c>
    </row>
    <row r="8" spans="1:23" x14ac:dyDescent="0.35">
      <c r="A8" t="s">
        <v>482</v>
      </c>
      <c r="B8" t="s">
        <v>32</v>
      </c>
      <c r="C8" t="s">
        <v>5</v>
      </c>
      <c r="D8" t="s">
        <v>565</v>
      </c>
      <c r="F8" s="61">
        <v>6</v>
      </c>
      <c r="G8" s="61">
        <v>6</v>
      </c>
      <c r="H8" s="61">
        <f t="shared" si="0"/>
        <v>21</v>
      </c>
      <c r="I8" s="61" t="s">
        <v>109</v>
      </c>
    </row>
    <row r="9" spans="1:23" x14ac:dyDescent="0.35">
      <c r="A9" t="s">
        <v>527</v>
      </c>
      <c r="B9" t="s">
        <v>526</v>
      </c>
      <c r="C9" t="s">
        <v>3</v>
      </c>
      <c r="D9" t="s">
        <v>545</v>
      </c>
      <c r="F9" s="61">
        <v>7</v>
      </c>
      <c r="G9" s="61">
        <v>7</v>
      </c>
      <c r="H9" s="61">
        <f t="shared" si="0"/>
        <v>28</v>
      </c>
      <c r="I9" s="61" t="s">
        <v>110</v>
      </c>
    </row>
    <row r="10" spans="1:23" x14ac:dyDescent="0.35">
      <c r="A10" t="s">
        <v>495</v>
      </c>
      <c r="B10" t="s">
        <v>37</v>
      </c>
      <c r="C10" t="s">
        <v>5</v>
      </c>
      <c r="D10" t="s">
        <v>595</v>
      </c>
      <c r="F10" s="61">
        <v>8</v>
      </c>
      <c r="G10" s="61">
        <v>8</v>
      </c>
      <c r="H10" s="61">
        <f t="shared" si="0"/>
        <v>36</v>
      </c>
      <c r="I10" s="61" t="s">
        <v>111</v>
      </c>
    </row>
    <row r="11" spans="1:23" x14ac:dyDescent="0.35">
      <c r="A11" t="s">
        <v>532</v>
      </c>
      <c r="B11" t="s">
        <v>535</v>
      </c>
      <c r="C11" t="s">
        <v>3</v>
      </c>
      <c r="D11" t="s">
        <v>546</v>
      </c>
      <c r="F11" s="61">
        <v>9</v>
      </c>
      <c r="G11" s="61">
        <v>9</v>
      </c>
      <c r="H11" s="61">
        <f t="shared" si="0"/>
        <v>45</v>
      </c>
      <c r="I11" s="61" t="s">
        <v>112</v>
      </c>
    </row>
    <row r="12" spans="1:23" x14ac:dyDescent="0.35">
      <c r="A12" t="s">
        <v>515</v>
      </c>
      <c r="B12" t="s">
        <v>41</v>
      </c>
      <c r="C12" t="s">
        <v>3</v>
      </c>
      <c r="D12" t="s">
        <v>554</v>
      </c>
      <c r="F12" s="61">
        <v>10</v>
      </c>
      <c r="G12" s="61">
        <v>10</v>
      </c>
      <c r="H12" s="61">
        <f t="shared" si="0"/>
        <v>55</v>
      </c>
      <c r="I12" s="61" t="s">
        <v>113</v>
      </c>
    </row>
    <row r="13" spans="1:23" x14ac:dyDescent="0.35">
      <c r="A13" t="s">
        <v>534</v>
      </c>
      <c r="B13" t="s">
        <v>535</v>
      </c>
      <c r="C13" t="s">
        <v>3</v>
      </c>
      <c r="D13" t="s">
        <v>547</v>
      </c>
      <c r="F13" s="61">
        <v>11</v>
      </c>
      <c r="G13" s="61">
        <v>11</v>
      </c>
      <c r="H13" s="61">
        <f t="shared" si="0"/>
        <v>66</v>
      </c>
      <c r="I13" s="61" t="s">
        <v>114</v>
      </c>
    </row>
    <row r="14" spans="1:23" x14ac:dyDescent="0.35">
      <c r="A14" t="s">
        <v>501</v>
      </c>
      <c r="B14" t="s">
        <v>39</v>
      </c>
      <c r="C14" t="s">
        <v>5</v>
      </c>
      <c r="D14" t="s">
        <v>600</v>
      </c>
      <c r="F14" s="61">
        <v>12</v>
      </c>
      <c r="G14" s="61">
        <v>12</v>
      </c>
      <c r="H14" s="61">
        <f t="shared" si="0"/>
        <v>78</v>
      </c>
      <c r="I14" s="61" t="s">
        <v>115</v>
      </c>
    </row>
    <row r="15" spans="1:23" x14ac:dyDescent="0.35">
      <c r="A15" t="s">
        <v>522</v>
      </c>
      <c r="B15" t="s">
        <v>41</v>
      </c>
      <c r="C15" t="s">
        <v>3</v>
      </c>
      <c r="D15" t="s">
        <v>555</v>
      </c>
    </row>
    <row r="16" spans="1:23" x14ac:dyDescent="0.35">
      <c r="A16" t="s">
        <v>487</v>
      </c>
      <c r="B16" t="s">
        <v>36</v>
      </c>
      <c r="C16" t="s">
        <v>5</v>
      </c>
      <c r="D16" t="s">
        <v>587</v>
      </c>
      <c r="I16" t="s">
        <v>459</v>
      </c>
      <c r="J16" t="s">
        <v>117</v>
      </c>
    </row>
    <row r="17" spans="1:10" x14ac:dyDescent="0.35">
      <c r="A17" t="s">
        <v>516</v>
      </c>
      <c r="B17" t="s">
        <v>41</v>
      </c>
      <c r="C17" t="s">
        <v>3</v>
      </c>
      <c r="D17" t="s">
        <v>556</v>
      </c>
      <c r="I17" t="s">
        <v>41</v>
      </c>
      <c r="J17" t="s">
        <v>3</v>
      </c>
    </row>
    <row r="18" spans="1:10" x14ac:dyDescent="0.35">
      <c r="A18" t="s">
        <v>477</v>
      </c>
      <c r="B18" t="s">
        <v>35</v>
      </c>
      <c r="C18" t="s">
        <v>5</v>
      </c>
      <c r="D18" t="s">
        <v>579</v>
      </c>
      <c r="I18" t="s">
        <v>38</v>
      </c>
      <c r="J18" t="s">
        <v>5</v>
      </c>
    </row>
    <row r="19" spans="1:10" x14ac:dyDescent="0.35">
      <c r="A19" t="s">
        <v>461</v>
      </c>
      <c r="B19" t="s">
        <v>31</v>
      </c>
      <c r="C19" t="s">
        <v>5</v>
      </c>
      <c r="D19" t="s">
        <v>539</v>
      </c>
      <c r="I19" t="s">
        <v>36</v>
      </c>
      <c r="J19" t="s">
        <v>5</v>
      </c>
    </row>
    <row r="20" spans="1:10" x14ac:dyDescent="0.35">
      <c r="A20" t="s">
        <v>471</v>
      </c>
      <c r="B20" t="s">
        <v>34</v>
      </c>
      <c r="C20" t="s">
        <v>5</v>
      </c>
      <c r="D20" t="s">
        <v>573</v>
      </c>
      <c r="I20" t="s">
        <v>33</v>
      </c>
      <c r="J20" t="s">
        <v>5</v>
      </c>
    </row>
    <row r="21" spans="1:10" x14ac:dyDescent="0.35">
      <c r="A21" t="s">
        <v>497</v>
      </c>
      <c r="B21" t="s">
        <v>38</v>
      </c>
      <c r="C21" t="s">
        <v>5</v>
      </c>
      <c r="D21" t="s">
        <v>597</v>
      </c>
      <c r="I21" t="s">
        <v>32</v>
      </c>
      <c r="J21" t="s">
        <v>5</v>
      </c>
    </row>
    <row r="22" spans="1:10" x14ac:dyDescent="0.35">
      <c r="A22" t="s">
        <v>462</v>
      </c>
      <c r="B22" t="s">
        <v>31</v>
      </c>
      <c r="C22" t="s">
        <v>5</v>
      </c>
      <c r="D22" t="s">
        <v>540</v>
      </c>
      <c r="I22" t="s">
        <v>526</v>
      </c>
      <c r="J22" t="s">
        <v>3</v>
      </c>
    </row>
    <row r="23" spans="1:10" x14ac:dyDescent="0.35">
      <c r="A23" t="s">
        <v>478</v>
      </c>
      <c r="B23" t="s">
        <v>35</v>
      </c>
      <c r="C23" t="s">
        <v>5</v>
      </c>
      <c r="D23" t="s">
        <v>580</v>
      </c>
      <c r="I23" t="s">
        <v>37</v>
      </c>
      <c r="J23" t="s">
        <v>5</v>
      </c>
    </row>
    <row r="24" spans="1:10" x14ac:dyDescent="0.35">
      <c r="A24" t="s">
        <v>463</v>
      </c>
      <c r="B24" t="s">
        <v>31</v>
      </c>
      <c r="C24" t="s">
        <v>5</v>
      </c>
      <c r="D24" t="s">
        <v>541</v>
      </c>
      <c r="I24" t="s">
        <v>535</v>
      </c>
      <c r="J24" t="s">
        <v>3</v>
      </c>
    </row>
    <row r="25" spans="1:10" x14ac:dyDescent="0.35">
      <c r="A25" t="s">
        <v>508</v>
      </c>
      <c r="B25" t="s">
        <v>40</v>
      </c>
      <c r="C25" t="s">
        <v>5</v>
      </c>
      <c r="D25" t="s">
        <v>606</v>
      </c>
      <c r="I25" t="s">
        <v>39</v>
      </c>
      <c r="J25" t="s">
        <v>5</v>
      </c>
    </row>
    <row r="26" spans="1:10" x14ac:dyDescent="0.35">
      <c r="A26" t="s">
        <v>472</v>
      </c>
      <c r="B26" t="s">
        <v>34</v>
      </c>
      <c r="C26" t="s">
        <v>5</v>
      </c>
      <c r="D26" t="s">
        <v>574</v>
      </c>
      <c r="I26" t="s">
        <v>35</v>
      </c>
      <c r="J26" t="s">
        <v>5</v>
      </c>
    </row>
    <row r="27" spans="1:10" x14ac:dyDescent="0.35">
      <c r="A27" t="s">
        <v>531</v>
      </c>
      <c r="B27" t="s">
        <v>530</v>
      </c>
      <c r="C27" t="s">
        <v>3</v>
      </c>
      <c r="D27" t="s">
        <v>550</v>
      </c>
      <c r="I27" t="s">
        <v>31</v>
      </c>
      <c r="J27" t="s">
        <v>5</v>
      </c>
    </row>
    <row r="28" spans="1:10" x14ac:dyDescent="0.35">
      <c r="A28" t="s">
        <v>486</v>
      </c>
      <c r="B28" t="s">
        <v>36</v>
      </c>
      <c r="C28" t="s">
        <v>5</v>
      </c>
      <c r="D28" t="s">
        <v>588</v>
      </c>
      <c r="I28" t="s">
        <v>34</v>
      </c>
      <c r="J28" t="s">
        <v>5</v>
      </c>
    </row>
    <row r="29" spans="1:10" x14ac:dyDescent="0.35">
      <c r="A29" t="s">
        <v>538</v>
      </c>
      <c r="B29" t="s">
        <v>530</v>
      </c>
      <c r="C29" t="s">
        <v>3</v>
      </c>
      <c r="D29" t="s">
        <v>551</v>
      </c>
      <c r="I29" t="s">
        <v>40</v>
      </c>
      <c r="J29" t="s">
        <v>5</v>
      </c>
    </row>
    <row r="30" spans="1:10" x14ac:dyDescent="0.35">
      <c r="A30" t="s">
        <v>523</v>
      </c>
      <c r="B30" t="s">
        <v>42</v>
      </c>
      <c r="C30" t="s">
        <v>3</v>
      </c>
      <c r="D30" t="s">
        <v>561</v>
      </c>
      <c r="I30" t="s">
        <v>530</v>
      </c>
      <c r="J30" t="s">
        <v>3</v>
      </c>
    </row>
    <row r="31" spans="1:10" x14ac:dyDescent="0.35">
      <c r="A31" t="s">
        <v>506</v>
      </c>
      <c r="B31" t="s">
        <v>40</v>
      </c>
      <c r="C31" t="s">
        <v>5</v>
      </c>
      <c r="D31" t="s">
        <v>607</v>
      </c>
      <c r="I31" t="s">
        <v>42</v>
      </c>
      <c r="J31" t="s">
        <v>3</v>
      </c>
    </row>
    <row r="32" spans="1:10" x14ac:dyDescent="0.35">
      <c r="A32" t="s">
        <v>512</v>
      </c>
      <c r="B32" t="s">
        <v>40</v>
      </c>
      <c r="C32" t="s">
        <v>5</v>
      </c>
      <c r="D32" t="s">
        <v>608</v>
      </c>
    </row>
    <row r="33" spans="1:4" x14ac:dyDescent="0.35">
      <c r="A33" t="s">
        <v>536</v>
      </c>
      <c r="B33" t="s">
        <v>535</v>
      </c>
      <c r="C33" t="s">
        <v>3</v>
      </c>
      <c r="D33" t="s">
        <v>548</v>
      </c>
    </row>
    <row r="34" spans="1:4" x14ac:dyDescent="0.35">
      <c r="A34" t="s">
        <v>479</v>
      </c>
      <c r="B34" t="s">
        <v>35</v>
      </c>
      <c r="C34" t="s">
        <v>5</v>
      </c>
      <c r="D34" t="s">
        <v>581</v>
      </c>
    </row>
    <row r="35" spans="1:4" x14ac:dyDescent="0.35">
      <c r="A35" t="s">
        <v>489</v>
      </c>
      <c r="B35" t="s">
        <v>36</v>
      </c>
      <c r="C35" t="s">
        <v>5</v>
      </c>
      <c r="D35" t="s">
        <v>589</v>
      </c>
    </row>
    <row r="36" spans="1:4" x14ac:dyDescent="0.35">
      <c r="A36" t="s">
        <v>569</v>
      </c>
      <c r="B36" t="s">
        <v>33</v>
      </c>
      <c r="C36" t="s">
        <v>5</v>
      </c>
      <c r="D36" t="s">
        <v>570</v>
      </c>
    </row>
    <row r="37" spans="1:4" x14ac:dyDescent="0.35">
      <c r="A37" t="s">
        <v>498</v>
      </c>
      <c r="B37" t="s">
        <v>38</v>
      </c>
      <c r="C37" t="s">
        <v>5</v>
      </c>
      <c r="D37" t="s">
        <v>598</v>
      </c>
    </row>
    <row r="38" spans="1:4" x14ac:dyDescent="0.35">
      <c r="A38" t="s">
        <v>517</v>
      </c>
      <c r="B38" t="s">
        <v>41</v>
      </c>
      <c r="C38" t="s">
        <v>3</v>
      </c>
      <c r="D38" t="s">
        <v>557</v>
      </c>
    </row>
    <row r="39" spans="1:4" x14ac:dyDescent="0.35">
      <c r="A39" t="s">
        <v>509</v>
      </c>
      <c r="B39" t="s">
        <v>40</v>
      </c>
      <c r="C39" t="s">
        <v>5</v>
      </c>
      <c r="D39" t="s">
        <v>609</v>
      </c>
    </row>
    <row r="40" spans="1:4" x14ac:dyDescent="0.35">
      <c r="A40" t="s">
        <v>480</v>
      </c>
      <c r="B40" t="s">
        <v>35</v>
      </c>
      <c r="C40" t="s">
        <v>5</v>
      </c>
      <c r="D40" t="s">
        <v>582</v>
      </c>
    </row>
    <row r="41" spans="1:4" x14ac:dyDescent="0.35">
      <c r="A41" t="s">
        <v>500</v>
      </c>
      <c r="B41" t="s">
        <v>39</v>
      </c>
      <c r="C41" t="s">
        <v>5</v>
      </c>
      <c r="D41" t="s">
        <v>601</v>
      </c>
    </row>
    <row r="42" spans="1:4" x14ac:dyDescent="0.35">
      <c r="A42" t="s">
        <v>537</v>
      </c>
      <c r="B42" t="s">
        <v>535</v>
      </c>
      <c r="C42" t="s">
        <v>3</v>
      </c>
      <c r="D42" t="s">
        <v>549</v>
      </c>
    </row>
    <row r="43" spans="1:4" x14ac:dyDescent="0.35">
      <c r="A43" t="s">
        <v>464</v>
      </c>
      <c r="B43" t="s">
        <v>31</v>
      </c>
      <c r="C43" t="s">
        <v>5</v>
      </c>
      <c r="D43" t="s">
        <v>542</v>
      </c>
    </row>
    <row r="44" spans="1:4" x14ac:dyDescent="0.35">
      <c r="A44" t="s">
        <v>494</v>
      </c>
      <c r="B44" t="s">
        <v>36</v>
      </c>
      <c r="C44" t="s">
        <v>5</v>
      </c>
      <c r="D44" t="s">
        <v>590</v>
      </c>
    </row>
    <row r="45" spans="1:4" x14ac:dyDescent="0.35">
      <c r="A45" t="s">
        <v>473</v>
      </c>
      <c r="B45" t="s">
        <v>34</v>
      </c>
      <c r="C45" t="s">
        <v>5</v>
      </c>
      <c r="D45" t="s">
        <v>575</v>
      </c>
    </row>
    <row r="46" spans="1:4" x14ac:dyDescent="0.35">
      <c r="A46" t="s">
        <v>493</v>
      </c>
      <c r="B46" t="s">
        <v>36</v>
      </c>
      <c r="C46" t="s">
        <v>5</v>
      </c>
      <c r="D46" t="s">
        <v>591</v>
      </c>
    </row>
    <row r="47" spans="1:4" x14ac:dyDescent="0.35">
      <c r="A47" t="s">
        <v>513</v>
      </c>
      <c r="B47" t="s">
        <v>40</v>
      </c>
      <c r="C47" t="s">
        <v>5</v>
      </c>
      <c r="D47" t="s">
        <v>610</v>
      </c>
    </row>
    <row r="48" spans="1:4" x14ac:dyDescent="0.35">
      <c r="A48" t="s">
        <v>503</v>
      </c>
      <c r="B48" t="s">
        <v>39</v>
      </c>
      <c r="C48" t="s">
        <v>5</v>
      </c>
      <c r="D48" t="s">
        <v>602</v>
      </c>
    </row>
    <row r="49" spans="1:4" x14ac:dyDescent="0.35">
      <c r="A49" t="s">
        <v>481</v>
      </c>
      <c r="B49" t="s">
        <v>35</v>
      </c>
      <c r="C49" t="s">
        <v>5</v>
      </c>
      <c r="D49" t="s">
        <v>583</v>
      </c>
    </row>
    <row r="50" spans="1:4" x14ac:dyDescent="0.35">
      <c r="A50" t="s">
        <v>485</v>
      </c>
      <c r="B50" t="s">
        <v>36</v>
      </c>
      <c r="C50" t="s">
        <v>5</v>
      </c>
      <c r="D50" t="s">
        <v>592</v>
      </c>
    </row>
    <row r="51" spans="1:4" x14ac:dyDescent="0.35">
      <c r="A51" t="s">
        <v>524</v>
      </c>
      <c r="B51" t="s">
        <v>42</v>
      </c>
      <c r="C51" t="s">
        <v>3</v>
      </c>
      <c r="D51" t="s">
        <v>562</v>
      </c>
    </row>
    <row r="52" spans="1:4" x14ac:dyDescent="0.35">
      <c r="A52" t="s">
        <v>507</v>
      </c>
      <c r="B52" t="s">
        <v>40</v>
      </c>
      <c r="C52" t="s">
        <v>5</v>
      </c>
      <c r="D52" t="s">
        <v>611</v>
      </c>
    </row>
    <row r="53" spans="1:4" x14ac:dyDescent="0.35">
      <c r="A53" t="s">
        <v>483</v>
      </c>
      <c r="B53" t="s">
        <v>32</v>
      </c>
      <c r="C53" t="s">
        <v>5</v>
      </c>
      <c r="D53" t="s">
        <v>566</v>
      </c>
    </row>
    <row r="54" spans="1:4" x14ac:dyDescent="0.35">
      <c r="A54" t="s">
        <v>492</v>
      </c>
      <c r="B54" t="s">
        <v>36</v>
      </c>
      <c r="C54" t="s">
        <v>5</v>
      </c>
      <c r="D54" t="s">
        <v>593</v>
      </c>
    </row>
    <row r="55" spans="1:4" x14ac:dyDescent="0.35">
      <c r="A55" t="s">
        <v>528</v>
      </c>
      <c r="B55" t="s">
        <v>526</v>
      </c>
      <c r="C55" t="s">
        <v>3</v>
      </c>
      <c r="D55" t="s">
        <v>544</v>
      </c>
    </row>
    <row r="56" spans="1:4" x14ac:dyDescent="0.35">
      <c r="A56" t="s">
        <v>465</v>
      </c>
      <c r="B56" t="s">
        <v>31</v>
      </c>
      <c r="C56" t="s">
        <v>5</v>
      </c>
      <c r="D56" t="s">
        <v>543</v>
      </c>
    </row>
    <row r="57" spans="1:4" x14ac:dyDescent="0.35">
      <c r="A57" t="s">
        <v>470</v>
      </c>
      <c r="B57" t="s">
        <v>33</v>
      </c>
      <c r="C57" t="s">
        <v>5</v>
      </c>
      <c r="D57" t="s">
        <v>572</v>
      </c>
    </row>
    <row r="58" spans="1:4" x14ac:dyDescent="0.35">
      <c r="A58" t="s">
        <v>504</v>
      </c>
      <c r="B58" t="s">
        <v>39</v>
      </c>
      <c r="C58" t="s">
        <v>5</v>
      </c>
      <c r="D58" t="s">
        <v>603</v>
      </c>
    </row>
    <row r="59" spans="1:4" x14ac:dyDescent="0.35">
      <c r="A59" t="s">
        <v>518</v>
      </c>
      <c r="B59" t="s">
        <v>41</v>
      </c>
      <c r="C59" t="s">
        <v>3</v>
      </c>
      <c r="D59" t="s">
        <v>558</v>
      </c>
    </row>
    <row r="60" spans="1:4" x14ac:dyDescent="0.35">
      <c r="A60" t="s">
        <v>505</v>
      </c>
      <c r="B60" t="s">
        <v>39</v>
      </c>
      <c r="C60" t="s">
        <v>5</v>
      </c>
      <c r="D60" t="s">
        <v>604</v>
      </c>
    </row>
    <row r="61" spans="1:4" x14ac:dyDescent="0.35">
      <c r="A61" t="s">
        <v>474</v>
      </c>
      <c r="B61" t="s">
        <v>34</v>
      </c>
      <c r="C61" t="s">
        <v>5</v>
      </c>
      <c r="D61" t="s">
        <v>576</v>
      </c>
    </row>
    <row r="62" spans="1:4" x14ac:dyDescent="0.35">
      <c r="A62" t="s">
        <v>529</v>
      </c>
      <c r="B62" t="s">
        <v>526</v>
      </c>
      <c r="C62" t="s">
        <v>3</v>
      </c>
      <c r="D62" t="s">
        <v>616</v>
      </c>
    </row>
    <row r="63" spans="1:4" x14ac:dyDescent="0.35">
      <c r="A63" t="s">
        <v>525</v>
      </c>
      <c r="B63" t="s">
        <v>42</v>
      </c>
      <c r="C63" t="s">
        <v>3</v>
      </c>
      <c r="D63" t="s">
        <v>563</v>
      </c>
    </row>
    <row r="64" spans="1:4" x14ac:dyDescent="0.35">
      <c r="A64" t="s">
        <v>468</v>
      </c>
      <c r="B64" t="s">
        <v>32</v>
      </c>
      <c r="C64" t="s">
        <v>5</v>
      </c>
      <c r="D64" t="s">
        <v>567</v>
      </c>
    </row>
    <row r="65" spans="1:4" x14ac:dyDescent="0.35">
      <c r="A65" t="s">
        <v>491</v>
      </c>
      <c r="B65" t="s">
        <v>36</v>
      </c>
      <c r="C65" t="s">
        <v>5</v>
      </c>
      <c r="D65" t="s">
        <v>594</v>
      </c>
    </row>
    <row r="66" spans="1:4" x14ac:dyDescent="0.35">
      <c r="A66" t="s">
        <v>484</v>
      </c>
      <c r="B66" t="s">
        <v>35</v>
      </c>
      <c r="C66" t="s">
        <v>5</v>
      </c>
      <c r="D66" t="s">
        <v>584</v>
      </c>
    </row>
    <row r="67" spans="1:4" x14ac:dyDescent="0.35">
      <c r="A67" t="s">
        <v>533</v>
      </c>
      <c r="B67" t="s">
        <v>530</v>
      </c>
      <c r="C67" t="s">
        <v>3</v>
      </c>
      <c r="D67" t="s">
        <v>552</v>
      </c>
    </row>
    <row r="68" spans="1:4" x14ac:dyDescent="0.35">
      <c r="A68" t="s">
        <v>475</v>
      </c>
      <c r="B68" t="s">
        <v>34</v>
      </c>
      <c r="C68" t="s">
        <v>5</v>
      </c>
      <c r="D68" t="s">
        <v>577</v>
      </c>
    </row>
    <row r="69" spans="1:4" x14ac:dyDescent="0.35">
      <c r="A69" t="s">
        <v>519</v>
      </c>
      <c r="B69" t="s">
        <v>41</v>
      </c>
      <c r="C69" t="s">
        <v>3</v>
      </c>
      <c r="D69" t="s">
        <v>559</v>
      </c>
    </row>
    <row r="70" spans="1:4" x14ac:dyDescent="0.35">
      <c r="A70" t="s">
        <v>466</v>
      </c>
      <c r="B70" t="s">
        <v>32</v>
      </c>
      <c r="C70" t="s">
        <v>5</v>
      </c>
      <c r="D70" t="s">
        <v>568</v>
      </c>
    </row>
    <row r="71" spans="1:4" x14ac:dyDescent="0.35">
      <c r="A71" t="s">
        <v>514</v>
      </c>
      <c r="B71" t="s">
        <v>40</v>
      </c>
      <c r="C71" t="s">
        <v>5</v>
      </c>
      <c r="D71" t="s">
        <v>612</v>
      </c>
    </row>
    <row r="72" spans="1:4" x14ac:dyDescent="0.35">
      <c r="A72" t="s">
        <v>520</v>
      </c>
      <c r="B72" t="s">
        <v>41</v>
      </c>
      <c r="C72" t="s">
        <v>3</v>
      </c>
      <c r="D72" t="s">
        <v>560</v>
      </c>
    </row>
    <row r="73" spans="1:4" x14ac:dyDescent="0.35">
      <c r="A73" t="s">
        <v>476</v>
      </c>
      <c r="B73" t="s">
        <v>34</v>
      </c>
      <c r="C73" t="s">
        <v>5</v>
      </c>
      <c r="D73" t="s">
        <v>578</v>
      </c>
    </row>
    <row r="74" spans="1:4" x14ac:dyDescent="0.35">
      <c r="A74" t="s">
        <v>502</v>
      </c>
      <c r="B74" t="s">
        <v>39</v>
      </c>
      <c r="C74" t="s">
        <v>5</v>
      </c>
      <c r="D74" t="s">
        <v>605</v>
      </c>
    </row>
    <row r="75" spans="1:4" x14ac:dyDescent="0.35">
      <c r="A75" t="s">
        <v>511</v>
      </c>
      <c r="B75" t="s">
        <v>40</v>
      </c>
      <c r="C75" t="s">
        <v>5</v>
      </c>
      <c r="D75" t="s">
        <v>613</v>
      </c>
    </row>
    <row r="76" spans="1:4" x14ac:dyDescent="0.35">
      <c r="A76" t="s">
        <v>499</v>
      </c>
      <c r="B76" t="s">
        <v>38</v>
      </c>
      <c r="C76" t="s">
        <v>5</v>
      </c>
      <c r="D76" t="s">
        <v>599</v>
      </c>
    </row>
    <row r="77" spans="1:4" x14ac:dyDescent="0.35">
      <c r="A77" t="s">
        <v>510</v>
      </c>
      <c r="B77" t="s">
        <v>40</v>
      </c>
      <c r="C77" t="s">
        <v>5</v>
      </c>
      <c r="D77" t="s">
        <v>614</v>
      </c>
    </row>
  </sheetData>
  <dataConsolidate function="countNums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DA77-3D9A-4DA3-9435-2C7356F9A017}">
  <dimension ref="A1:H24"/>
  <sheetViews>
    <sheetView workbookViewId="0">
      <selection activeCell="A19" sqref="A19"/>
    </sheetView>
  </sheetViews>
  <sheetFormatPr defaultRowHeight="14.5" x14ac:dyDescent="0.35"/>
  <cols>
    <col min="1" max="1" width="10.75" bestFit="1" customWidth="1"/>
    <col min="2" max="2" width="8.4140625" customWidth="1"/>
    <col min="3" max="3" width="10.75" bestFit="1" customWidth="1"/>
    <col min="4" max="4" width="8.33203125" customWidth="1"/>
    <col min="5" max="5" width="13.1640625" bestFit="1" customWidth="1"/>
    <col min="6" max="6" width="8.4140625" customWidth="1"/>
    <col min="7" max="7" width="9.83203125" bestFit="1" customWidth="1"/>
    <col min="8" max="8" width="6.9140625" bestFit="1" customWidth="1"/>
  </cols>
  <sheetData>
    <row r="1" spans="1:8" x14ac:dyDescent="0.35">
      <c r="A1" s="277" t="s">
        <v>652</v>
      </c>
      <c r="B1" s="277"/>
      <c r="C1" s="277"/>
      <c r="D1" s="277"/>
      <c r="E1" s="277"/>
      <c r="F1" s="277"/>
      <c r="G1" s="277"/>
      <c r="H1" s="277"/>
    </row>
    <row r="2" spans="1:8" x14ac:dyDescent="0.35">
      <c r="A2" s="273" t="s">
        <v>624</v>
      </c>
      <c r="B2" s="273" t="s">
        <v>645</v>
      </c>
      <c r="C2" s="273" t="s">
        <v>625</v>
      </c>
      <c r="D2" s="273" t="s">
        <v>646</v>
      </c>
      <c r="E2" s="273" t="s">
        <v>659</v>
      </c>
      <c r="F2" s="273" t="s">
        <v>647</v>
      </c>
      <c r="G2" s="273" t="s">
        <v>626</v>
      </c>
      <c r="H2" s="273" t="s">
        <v>648</v>
      </c>
    </row>
    <row r="3" spans="1:8" x14ac:dyDescent="0.35">
      <c r="A3" s="274" t="s">
        <v>627</v>
      </c>
      <c r="B3" s="275">
        <v>-1</v>
      </c>
      <c r="C3" s="274" t="s">
        <v>628</v>
      </c>
      <c r="D3" s="275">
        <v>0</v>
      </c>
      <c r="E3" s="274" t="s">
        <v>629</v>
      </c>
      <c r="F3" s="275">
        <v>0</v>
      </c>
      <c r="G3" s="274" t="s">
        <v>630</v>
      </c>
      <c r="H3" s="275">
        <v>0</v>
      </c>
    </row>
    <row r="4" spans="1:8" x14ac:dyDescent="0.35">
      <c r="A4" s="274" t="s">
        <v>631</v>
      </c>
      <c r="B4" s="275">
        <v>-2</v>
      </c>
      <c r="C4" s="274" t="s">
        <v>632</v>
      </c>
      <c r="D4" s="275">
        <v>-1</v>
      </c>
      <c r="E4" s="274" t="s">
        <v>651</v>
      </c>
      <c r="F4" s="275">
        <v>-1</v>
      </c>
      <c r="G4" s="274" t="s">
        <v>634</v>
      </c>
      <c r="H4" s="275">
        <v>-1</v>
      </c>
    </row>
    <row r="5" spans="1:8" x14ac:dyDescent="0.35">
      <c r="A5" s="274" t="s">
        <v>225</v>
      </c>
      <c r="B5" s="275">
        <v>-3</v>
      </c>
      <c r="C5" s="274" t="s">
        <v>649</v>
      </c>
      <c r="D5" s="275">
        <v>-3</v>
      </c>
      <c r="E5" s="274" t="s">
        <v>633</v>
      </c>
      <c r="F5" s="275">
        <v>-2</v>
      </c>
      <c r="G5" s="274" t="s">
        <v>637</v>
      </c>
      <c r="H5" s="275">
        <v>-3</v>
      </c>
    </row>
    <row r="6" spans="1:8" x14ac:dyDescent="0.35">
      <c r="A6" s="274" t="s">
        <v>638</v>
      </c>
      <c r="B6" s="275">
        <v>-6</v>
      </c>
      <c r="C6" s="274" t="s">
        <v>635</v>
      </c>
      <c r="D6" s="275">
        <v>-6</v>
      </c>
      <c r="E6" s="274" t="s">
        <v>636</v>
      </c>
      <c r="F6" s="275">
        <v>-3</v>
      </c>
      <c r="G6" s="274" t="s">
        <v>640</v>
      </c>
      <c r="H6" s="275">
        <v>-6</v>
      </c>
    </row>
    <row r="7" spans="1:8" x14ac:dyDescent="0.35">
      <c r="A7" s="274" t="s">
        <v>113</v>
      </c>
      <c r="B7" s="275">
        <v>-9</v>
      </c>
      <c r="C7" s="274" t="s">
        <v>650</v>
      </c>
      <c r="D7" s="275">
        <v>-9</v>
      </c>
      <c r="E7" s="274" t="s">
        <v>639</v>
      </c>
      <c r="F7" s="275">
        <v>-5</v>
      </c>
      <c r="G7" s="274" t="s">
        <v>642</v>
      </c>
      <c r="H7" s="275">
        <v>-9</v>
      </c>
    </row>
    <row r="8" spans="1:8" x14ac:dyDescent="0.35">
      <c r="A8" s="274" t="s">
        <v>115</v>
      </c>
      <c r="B8" s="275">
        <v>-18</v>
      </c>
      <c r="C8" s="274" t="s">
        <v>643</v>
      </c>
      <c r="D8" s="275">
        <v>-18</v>
      </c>
      <c r="E8" t="s">
        <v>641</v>
      </c>
      <c r="F8" s="69">
        <v>-8</v>
      </c>
      <c r="G8" s="274" t="s">
        <v>644</v>
      </c>
      <c r="H8" s="275">
        <v>-18</v>
      </c>
    </row>
    <row r="10" spans="1:8" x14ac:dyDescent="0.35">
      <c r="A10" s="278" t="s">
        <v>320</v>
      </c>
      <c r="B10" s="278"/>
      <c r="C10" s="278"/>
      <c r="D10" s="278"/>
      <c r="E10" s="278"/>
      <c r="F10" s="278"/>
    </row>
    <row r="11" spans="1:8" x14ac:dyDescent="0.35">
      <c r="A11" t="s">
        <v>653</v>
      </c>
      <c r="B11" t="s">
        <v>646</v>
      </c>
      <c r="C11" t="s">
        <v>660</v>
      </c>
      <c r="D11" t="s">
        <v>666</v>
      </c>
      <c r="E11" t="s">
        <v>667</v>
      </c>
      <c r="F11" t="s">
        <v>669</v>
      </c>
    </row>
    <row r="12" spans="1:8" x14ac:dyDescent="0.35">
      <c r="A12" t="s">
        <v>654</v>
      </c>
      <c r="B12" s="69">
        <v>-1</v>
      </c>
      <c r="C12" s="69" t="s">
        <v>661</v>
      </c>
      <c r="D12" s="69">
        <v>-1</v>
      </c>
      <c r="E12" t="s">
        <v>668</v>
      </c>
      <c r="F12" s="69">
        <v>-1</v>
      </c>
    </row>
    <row r="13" spans="1:8" x14ac:dyDescent="0.35">
      <c r="A13" t="s">
        <v>655</v>
      </c>
      <c r="B13" s="69">
        <v>-3</v>
      </c>
      <c r="C13" s="69" t="s">
        <v>662</v>
      </c>
      <c r="D13" s="69">
        <v>-3</v>
      </c>
      <c r="E13" t="s">
        <v>361</v>
      </c>
      <c r="F13" s="279" t="s">
        <v>676</v>
      </c>
    </row>
    <row r="14" spans="1:8" x14ac:dyDescent="0.35">
      <c r="A14" t="s">
        <v>656</v>
      </c>
      <c r="B14" s="69">
        <v>-6</v>
      </c>
      <c r="C14" s="69" t="s">
        <v>664</v>
      </c>
      <c r="D14" s="69">
        <v>-6</v>
      </c>
      <c r="E14" t="s">
        <v>215</v>
      </c>
      <c r="F14" s="279" t="s">
        <v>676</v>
      </c>
    </row>
    <row r="15" spans="1:8" x14ac:dyDescent="0.35">
      <c r="A15" t="s">
        <v>657</v>
      </c>
      <c r="B15" s="69">
        <v>-9</v>
      </c>
      <c r="C15" s="69" t="s">
        <v>665</v>
      </c>
      <c r="D15" s="69">
        <v>-9</v>
      </c>
      <c r="E15" t="s">
        <v>185</v>
      </c>
      <c r="F15" s="279" t="s">
        <v>676</v>
      </c>
    </row>
    <row r="16" spans="1:8" x14ac:dyDescent="0.35">
      <c r="A16" t="s">
        <v>658</v>
      </c>
      <c r="B16" s="69">
        <v>-12</v>
      </c>
      <c r="C16" s="69" t="s">
        <v>663</v>
      </c>
      <c r="D16" s="69">
        <v>-12</v>
      </c>
      <c r="E16" t="s">
        <v>246</v>
      </c>
      <c r="F16" s="279" t="s">
        <v>677</v>
      </c>
    </row>
    <row r="18" spans="1:6" x14ac:dyDescent="0.35">
      <c r="A18" s="278" t="s">
        <v>321</v>
      </c>
      <c r="B18" s="278"/>
      <c r="C18" s="278"/>
      <c r="D18" s="278"/>
      <c r="E18" s="278"/>
      <c r="F18" s="278"/>
    </row>
    <row r="19" spans="1:6" x14ac:dyDescent="0.35">
      <c r="A19" t="s">
        <v>660</v>
      </c>
      <c r="B19" t="s">
        <v>666</v>
      </c>
      <c r="C19" t="s">
        <v>670</v>
      </c>
      <c r="D19" t="s">
        <v>671</v>
      </c>
      <c r="E19" t="s">
        <v>672</v>
      </c>
      <c r="F19" t="s">
        <v>673</v>
      </c>
    </row>
    <row r="20" spans="1:6" x14ac:dyDescent="0.35">
      <c r="A20" t="s">
        <v>674</v>
      </c>
      <c r="B20" s="69">
        <v>0</v>
      </c>
      <c r="C20" t="s">
        <v>675</v>
      </c>
      <c r="D20" s="69">
        <v>-1</v>
      </c>
      <c r="E20" t="s">
        <v>679</v>
      </c>
      <c r="F20" s="69">
        <v>0</v>
      </c>
    </row>
    <row r="21" spans="1:6" x14ac:dyDescent="0.35">
      <c r="A21" t="s">
        <v>665</v>
      </c>
      <c r="B21" s="69">
        <v>-1</v>
      </c>
      <c r="C21" t="s">
        <v>361</v>
      </c>
      <c r="D21" s="279" t="s">
        <v>676</v>
      </c>
      <c r="E21" t="s">
        <v>681</v>
      </c>
      <c r="F21" s="279" t="s">
        <v>680</v>
      </c>
    </row>
    <row r="22" spans="1:6" x14ac:dyDescent="0.35">
      <c r="A22" t="s">
        <v>664</v>
      </c>
      <c r="B22" s="69">
        <v>-3</v>
      </c>
      <c r="C22" t="s">
        <v>215</v>
      </c>
      <c r="D22" s="279" t="s">
        <v>676</v>
      </c>
    </row>
    <row r="23" spans="1:6" x14ac:dyDescent="0.35">
      <c r="A23" t="s">
        <v>662</v>
      </c>
      <c r="B23" s="69">
        <v>-6</v>
      </c>
      <c r="C23" t="s">
        <v>185</v>
      </c>
      <c r="D23" s="279" t="s">
        <v>676</v>
      </c>
    </row>
    <row r="24" spans="1:6" x14ac:dyDescent="0.35">
      <c r="A24" t="s">
        <v>661</v>
      </c>
      <c r="B24" s="69">
        <v>-9</v>
      </c>
      <c r="C24" t="s">
        <v>678</v>
      </c>
      <c r="D24" s="279" t="s">
        <v>676</v>
      </c>
    </row>
  </sheetData>
  <mergeCells count="3">
    <mergeCell ref="A1:H1"/>
    <mergeCell ref="A10:F10"/>
    <mergeCell ref="A18:F18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6DDF-05F6-401A-BFE5-6FDE47C933E2}">
  <dimension ref="A1:C72"/>
  <sheetViews>
    <sheetView workbookViewId="0">
      <selection sqref="A1:A1048576"/>
    </sheetView>
  </sheetViews>
  <sheetFormatPr defaultRowHeight="14.5" x14ac:dyDescent="0.35"/>
  <cols>
    <col min="1" max="1" width="14.08203125" bestFit="1" customWidth="1"/>
    <col min="2" max="2" width="10.25" bestFit="1" customWidth="1"/>
    <col min="3" max="3" width="136.83203125" bestFit="1" customWidth="1"/>
  </cols>
  <sheetData>
    <row r="1" spans="1:3" x14ac:dyDescent="0.35">
      <c r="A1" t="s">
        <v>280</v>
      </c>
      <c r="B1" t="s">
        <v>279</v>
      </c>
      <c r="C1" t="s">
        <v>278</v>
      </c>
    </row>
    <row r="2" spans="1:3" x14ac:dyDescent="0.35">
      <c r="A2" t="s">
        <v>277</v>
      </c>
      <c r="B2" t="s">
        <v>178</v>
      </c>
      <c r="C2" t="s">
        <v>276</v>
      </c>
    </row>
    <row r="3" spans="1:3" x14ac:dyDescent="0.35">
      <c r="A3" t="s">
        <v>275</v>
      </c>
      <c r="B3" t="s">
        <v>178</v>
      </c>
      <c r="C3" t="s">
        <v>274</v>
      </c>
    </row>
    <row r="4" spans="1:3" x14ac:dyDescent="0.35">
      <c r="A4" t="s">
        <v>273</v>
      </c>
      <c r="B4" t="s">
        <v>178</v>
      </c>
      <c r="C4" t="s">
        <v>272</v>
      </c>
    </row>
    <row r="5" spans="1:3" x14ac:dyDescent="0.35">
      <c r="A5" t="s">
        <v>271</v>
      </c>
      <c r="B5" t="s">
        <v>169</v>
      </c>
      <c r="C5" t="s">
        <v>270</v>
      </c>
    </row>
    <row r="6" spans="1:3" x14ac:dyDescent="0.35">
      <c r="A6" t="s">
        <v>269</v>
      </c>
      <c r="B6" t="s">
        <v>178</v>
      </c>
      <c r="C6" t="s">
        <v>268</v>
      </c>
    </row>
    <row r="7" spans="1:3" x14ac:dyDescent="0.35">
      <c r="A7" t="s">
        <v>3</v>
      </c>
      <c r="B7" t="s">
        <v>117</v>
      </c>
      <c r="C7" t="s">
        <v>267</v>
      </c>
    </row>
    <row r="8" spans="1:3" x14ac:dyDescent="0.35">
      <c r="A8" t="s">
        <v>140</v>
      </c>
      <c r="B8" t="s">
        <v>169</v>
      </c>
      <c r="C8" t="s">
        <v>266</v>
      </c>
    </row>
    <row r="9" spans="1:3" x14ac:dyDescent="0.35">
      <c r="A9" t="s">
        <v>265</v>
      </c>
      <c r="B9" t="s">
        <v>169</v>
      </c>
      <c r="C9" t="s">
        <v>264</v>
      </c>
    </row>
    <row r="10" spans="1:3" x14ac:dyDescent="0.35">
      <c r="A10" t="s">
        <v>139</v>
      </c>
      <c r="B10" t="s">
        <v>169</v>
      </c>
      <c r="C10" t="s">
        <v>263</v>
      </c>
    </row>
    <row r="11" spans="1:3" x14ac:dyDescent="0.35">
      <c r="A11" t="s">
        <v>262</v>
      </c>
      <c r="B11" t="s">
        <v>18</v>
      </c>
      <c r="C11" t="s">
        <v>261</v>
      </c>
    </row>
    <row r="12" spans="1:3" x14ac:dyDescent="0.35">
      <c r="A12" t="s">
        <v>260</v>
      </c>
      <c r="B12" t="s">
        <v>259</v>
      </c>
      <c r="C12" t="s">
        <v>258</v>
      </c>
    </row>
    <row r="13" spans="1:3" x14ac:dyDescent="0.35">
      <c r="A13" t="s">
        <v>257</v>
      </c>
      <c r="B13" t="s">
        <v>175</v>
      </c>
      <c r="C13" t="s">
        <v>256</v>
      </c>
    </row>
    <row r="14" spans="1:3" x14ac:dyDescent="0.35">
      <c r="A14" t="s">
        <v>255</v>
      </c>
      <c r="B14" t="s">
        <v>161</v>
      </c>
      <c r="C14" t="s">
        <v>254</v>
      </c>
    </row>
    <row r="15" spans="1:3" x14ac:dyDescent="0.35">
      <c r="A15" t="s">
        <v>169</v>
      </c>
      <c r="B15" t="s">
        <v>161</v>
      </c>
      <c r="C15" t="s">
        <v>253</v>
      </c>
    </row>
    <row r="16" spans="1:3" x14ac:dyDescent="0.35">
      <c r="A16" t="s">
        <v>252</v>
      </c>
      <c r="B16" t="s">
        <v>169</v>
      </c>
      <c r="C16" t="s">
        <v>251</v>
      </c>
    </row>
    <row r="17" spans="1:3" x14ac:dyDescent="0.35">
      <c r="A17" t="s">
        <v>250</v>
      </c>
      <c r="B17" t="s">
        <v>169</v>
      </c>
      <c r="C17" t="s">
        <v>249</v>
      </c>
    </row>
    <row r="18" spans="1:3" x14ac:dyDescent="0.35">
      <c r="A18" t="s">
        <v>248</v>
      </c>
      <c r="B18" t="s">
        <v>178</v>
      </c>
      <c r="C18" t="s">
        <v>247</v>
      </c>
    </row>
    <row r="19" spans="1:3" x14ac:dyDescent="0.35">
      <c r="A19" t="s">
        <v>246</v>
      </c>
      <c r="B19" t="s">
        <v>169</v>
      </c>
      <c r="C19" t="s">
        <v>245</v>
      </c>
    </row>
    <row r="20" spans="1:3" x14ac:dyDescent="0.35">
      <c r="A20" t="s">
        <v>244</v>
      </c>
      <c r="B20" t="s">
        <v>178</v>
      </c>
      <c r="C20" t="s">
        <v>243</v>
      </c>
    </row>
    <row r="21" spans="1:3" x14ac:dyDescent="0.35">
      <c r="A21" t="s">
        <v>43</v>
      </c>
      <c r="B21" t="s">
        <v>157</v>
      </c>
      <c r="C21" t="s">
        <v>242</v>
      </c>
    </row>
    <row r="22" spans="1:3" x14ac:dyDescent="0.35">
      <c r="A22" t="s">
        <v>241</v>
      </c>
      <c r="B22" t="s">
        <v>169</v>
      </c>
      <c r="C22" t="s">
        <v>240</v>
      </c>
    </row>
    <row r="23" spans="1:3" x14ac:dyDescent="0.35">
      <c r="A23" t="s">
        <v>178</v>
      </c>
      <c r="B23" t="s">
        <v>169</v>
      </c>
      <c r="C23" t="s">
        <v>239</v>
      </c>
    </row>
    <row r="24" spans="1:3" x14ac:dyDescent="0.35">
      <c r="A24" t="s">
        <v>238</v>
      </c>
      <c r="B24" t="s">
        <v>169</v>
      </c>
      <c r="C24" t="s">
        <v>237</v>
      </c>
    </row>
    <row r="25" spans="1:3" x14ac:dyDescent="0.35">
      <c r="A25" t="s">
        <v>236</v>
      </c>
      <c r="B25" t="s">
        <v>178</v>
      </c>
      <c r="C25" t="s">
        <v>235</v>
      </c>
    </row>
    <row r="26" spans="1:3" x14ac:dyDescent="0.35">
      <c r="A26" t="s">
        <v>234</v>
      </c>
      <c r="B26" t="s">
        <v>206</v>
      </c>
      <c r="C26" t="s">
        <v>233</v>
      </c>
    </row>
    <row r="27" spans="1:3" x14ac:dyDescent="0.35">
      <c r="A27" t="s">
        <v>6</v>
      </c>
      <c r="B27" t="s">
        <v>157</v>
      </c>
      <c r="C27" t="s">
        <v>232</v>
      </c>
    </row>
    <row r="28" spans="1:3" x14ac:dyDescent="0.35">
      <c r="A28" t="s">
        <v>141</v>
      </c>
      <c r="B28" t="s">
        <v>169</v>
      </c>
      <c r="C28" t="s">
        <v>184</v>
      </c>
    </row>
    <row r="29" spans="1:3" x14ac:dyDescent="0.35">
      <c r="A29" t="s">
        <v>157</v>
      </c>
      <c r="B29" t="s">
        <v>157</v>
      </c>
      <c r="C29" t="s">
        <v>231</v>
      </c>
    </row>
    <row r="30" spans="1:3" x14ac:dyDescent="0.35">
      <c r="A30" t="s">
        <v>230</v>
      </c>
      <c r="B30" t="s">
        <v>178</v>
      </c>
      <c r="C30" t="s">
        <v>229</v>
      </c>
    </row>
    <row r="31" spans="1:3" x14ac:dyDescent="0.35">
      <c r="A31" t="s">
        <v>100</v>
      </c>
      <c r="B31" t="s">
        <v>169</v>
      </c>
      <c r="C31" t="s">
        <v>228</v>
      </c>
    </row>
    <row r="32" spans="1:3" x14ac:dyDescent="0.35">
      <c r="A32" t="s">
        <v>227</v>
      </c>
      <c r="B32" t="s">
        <v>157</v>
      </c>
      <c r="C32" t="s">
        <v>226</v>
      </c>
    </row>
    <row r="33" spans="1:3" x14ac:dyDescent="0.35">
      <c r="A33" t="s">
        <v>225</v>
      </c>
      <c r="B33" t="s">
        <v>178</v>
      </c>
      <c r="C33" t="s">
        <v>224</v>
      </c>
    </row>
    <row r="34" spans="1:3" x14ac:dyDescent="0.35">
      <c r="A34" t="s">
        <v>223</v>
      </c>
      <c r="B34" t="s">
        <v>200</v>
      </c>
      <c r="C34" t="s">
        <v>222</v>
      </c>
    </row>
    <row r="35" spans="1:3" x14ac:dyDescent="0.35">
      <c r="A35" t="s">
        <v>221</v>
      </c>
      <c r="B35" t="s">
        <v>206</v>
      </c>
      <c r="C35" t="s">
        <v>220</v>
      </c>
    </row>
    <row r="36" spans="1:3" x14ac:dyDescent="0.35">
      <c r="A36" t="s">
        <v>219</v>
      </c>
      <c r="B36" t="s">
        <v>200</v>
      </c>
      <c r="C36" t="s">
        <v>218</v>
      </c>
    </row>
    <row r="37" spans="1:3" x14ac:dyDescent="0.35">
      <c r="A37" t="s">
        <v>217</v>
      </c>
      <c r="B37" t="s">
        <v>161</v>
      </c>
      <c r="C37" t="s">
        <v>216</v>
      </c>
    </row>
    <row r="38" spans="1:3" x14ac:dyDescent="0.35">
      <c r="A38" t="s">
        <v>215</v>
      </c>
      <c r="B38" t="s">
        <v>169</v>
      </c>
      <c r="C38" t="s">
        <v>168</v>
      </c>
    </row>
    <row r="39" spans="1:3" x14ac:dyDescent="0.35">
      <c r="A39" t="s">
        <v>213</v>
      </c>
      <c r="B39" t="s">
        <v>161</v>
      </c>
      <c r="C39" t="s">
        <v>212</v>
      </c>
    </row>
    <row r="40" spans="1:3" x14ac:dyDescent="0.35">
      <c r="A40" t="s">
        <v>361</v>
      </c>
      <c r="B40" t="s">
        <v>169</v>
      </c>
      <c r="C40" t="s">
        <v>214</v>
      </c>
    </row>
    <row r="41" spans="1:3" x14ac:dyDescent="0.35">
      <c r="A41" t="s">
        <v>211</v>
      </c>
      <c r="B41" t="s">
        <v>178</v>
      </c>
      <c r="C41" t="s">
        <v>210</v>
      </c>
    </row>
    <row r="42" spans="1:3" x14ac:dyDescent="0.35">
      <c r="A42" t="s">
        <v>209</v>
      </c>
      <c r="B42" t="s">
        <v>169</v>
      </c>
      <c r="C42" t="s">
        <v>208</v>
      </c>
    </row>
    <row r="43" spans="1:3" x14ac:dyDescent="0.35">
      <c r="A43" t="s">
        <v>5</v>
      </c>
      <c r="B43" t="s">
        <v>117</v>
      </c>
      <c r="C43" t="s">
        <v>207</v>
      </c>
    </row>
    <row r="44" spans="1:3" x14ac:dyDescent="0.35">
      <c r="A44" t="s">
        <v>22</v>
      </c>
      <c r="B44" t="s">
        <v>206</v>
      </c>
      <c r="C44" t="s">
        <v>205</v>
      </c>
    </row>
    <row r="45" spans="1:3" x14ac:dyDescent="0.35">
      <c r="A45" t="s">
        <v>204</v>
      </c>
      <c r="B45" t="s">
        <v>169</v>
      </c>
      <c r="C45" t="s">
        <v>203</v>
      </c>
    </row>
    <row r="46" spans="1:3" x14ac:dyDescent="0.35">
      <c r="A46" t="s">
        <v>202</v>
      </c>
      <c r="B46" t="s">
        <v>178</v>
      </c>
      <c r="C46" t="s">
        <v>201</v>
      </c>
    </row>
    <row r="47" spans="1:3" x14ac:dyDescent="0.35">
      <c r="A47" t="s">
        <v>200</v>
      </c>
      <c r="B47" t="s">
        <v>161</v>
      </c>
      <c r="C47" t="s">
        <v>199</v>
      </c>
    </row>
    <row r="48" spans="1:3" x14ac:dyDescent="0.35">
      <c r="A48" t="s">
        <v>54</v>
      </c>
      <c r="B48" t="s">
        <v>18</v>
      </c>
      <c r="C48" t="s">
        <v>198</v>
      </c>
    </row>
    <row r="49" spans="1:3" x14ac:dyDescent="0.35">
      <c r="A49" t="s">
        <v>8</v>
      </c>
      <c r="B49" t="s">
        <v>157</v>
      </c>
      <c r="C49" t="s">
        <v>197</v>
      </c>
    </row>
    <row r="50" spans="1:3" x14ac:dyDescent="0.35">
      <c r="A50" t="s">
        <v>14</v>
      </c>
      <c r="B50" t="s">
        <v>157</v>
      </c>
      <c r="C50" t="s">
        <v>196</v>
      </c>
    </row>
    <row r="51" spans="1:3" x14ac:dyDescent="0.35">
      <c r="A51" t="s">
        <v>195</v>
      </c>
      <c r="B51" t="s">
        <v>178</v>
      </c>
      <c r="C51" t="s">
        <v>194</v>
      </c>
    </row>
    <row r="52" spans="1:3" x14ac:dyDescent="0.35">
      <c r="A52" t="s">
        <v>18</v>
      </c>
      <c r="B52" t="s">
        <v>175</v>
      </c>
      <c r="C52" t="s">
        <v>193</v>
      </c>
    </row>
    <row r="53" spans="1:3" x14ac:dyDescent="0.35">
      <c r="A53" t="s">
        <v>192</v>
      </c>
      <c r="B53" t="s">
        <v>169</v>
      </c>
      <c r="C53" t="s">
        <v>191</v>
      </c>
    </row>
    <row r="54" spans="1:3" x14ac:dyDescent="0.35">
      <c r="A54" t="s">
        <v>190</v>
      </c>
      <c r="B54" t="s">
        <v>18</v>
      </c>
      <c r="C54" t="s">
        <v>189</v>
      </c>
    </row>
    <row r="55" spans="1:3" x14ac:dyDescent="0.35">
      <c r="A55" t="s">
        <v>188</v>
      </c>
      <c r="B55" t="s">
        <v>18</v>
      </c>
      <c r="C55" t="s">
        <v>187</v>
      </c>
    </row>
    <row r="56" spans="1:3" x14ac:dyDescent="0.35">
      <c r="A56" t="s">
        <v>45</v>
      </c>
      <c r="B56" t="s">
        <v>43</v>
      </c>
      <c r="C56" t="s">
        <v>186</v>
      </c>
    </row>
    <row r="57" spans="1:3" x14ac:dyDescent="0.35">
      <c r="A57" t="s">
        <v>185</v>
      </c>
      <c r="B57" t="s">
        <v>169</v>
      </c>
      <c r="C57" t="s">
        <v>184</v>
      </c>
    </row>
    <row r="58" spans="1:3" x14ac:dyDescent="0.35">
      <c r="A58" t="s">
        <v>16</v>
      </c>
      <c r="B58" t="s">
        <v>18</v>
      </c>
      <c r="C58" t="s">
        <v>183</v>
      </c>
    </row>
    <row r="59" spans="1:3" x14ac:dyDescent="0.35">
      <c r="A59" t="s">
        <v>10</v>
      </c>
      <c r="B59" t="s">
        <v>157</v>
      </c>
      <c r="C59" t="s">
        <v>182</v>
      </c>
    </row>
    <row r="60" spans="1:3" x14ac:dyDescent="0.35">
      <c r="A60" t="s">
        <v>181</v>
      </c>
      <c r="B60" t="s">
        <v>169</v>
      </c>
      <c r="C60" t="s">
        <v>180</v>
      </c>
    </row>
    <row r="61" spans="1:3" x14ac:dyDescent="0.35">
      <c r="A61" t="s">
        <v>179</v>
      </c>
      <c r="B61" t="s">
        <v>178</v>
      </c>
      <c r="C61" t="s">
        <v>177</v>
      </c>
    </row>
    <row r="62" spans="1:3" x14ac:dyDescent="0.35">
      <c r="A62" t="s">
        <v>176</v>
      </c>
      <c r="B62" t="s">
        <v>175</v>
      </c>
      <c r="C62" t="s">
        <v>174</v>
      </c>
    </row>
    <row r="63" spans="1:3" x14ac:dyDescent="0.35">
      <c r="A63" t="s">
        <v>7</v>
      </c>
      <c r="B63" t="s">
        <v>157</v>
      </c>
      <c r="C63" t="s">
        <v>173</v>
      </c>
    </row>
    <row r="64" spans="1:3" x14ac:dyDescent="0.35">
      <c r="A64" t="s">
        <v>55</v>
      </c>
      <c r="B64" t="s">
        <v>18</v>
      </c>
      <c r="C64" t="s">
        <v>172</v>
      </c>
    </row>
    <row r="65" spans="1:3" x14ac:dyDescent="0.35">
      <c r="A65" t="s">
        <v>15</v>
      </c>
      <c r="B65" t="s">
        <v>169</v>
      </c>
      <c r="C65" t="s">
        <v>171</v>
      </c>
    </row>
    <row r="66" spans="1:3" x14ac:dyDescent="0.35">
      <c r="A66" t="s">
        <v>17</v>
      </c>
      <c r="B66" t="s">
        <v>18</v>
      </c>
      <c r="C66" t="s">
        <v>170</v>
      </c>
    </row>
    <row r="67" spans="1:3" x14ac:dyDescent="0.35">
      <c r="A67" t="s">
        <v>167</v>
      </c>
      <c r="B67" t="s">
        <v>161</v>
      </c>
      <c r="C67" t="s">
        <v>166</v>
      </c>
    </row>
    <row r="68" spans="1:3" x14ac:dyDescent="0.35">
      <c r="A68" t="s">
        <v>165</v>
      </c>
      <c r="B68" t="s">
        <v>161</v>
      </c>
      <c r="C68" t="s">
        <v>164</v>
      </c>
    </row>
    <row r="69" spans="1:3" x14ac:dyDescent="0.35">
      <c r="A69" t="s">
        <v>13</v>
      </c>
      <c r="B69" t="s">
        <v>157</v>
      </c>
      <c r="C69" t="s">
        <v>163</v>
      </c>
    </row>
    <row r="70" spans="1:3" x14ac:dyDescent="0.35">
      <c r="A70" t="s">
        <v>162</v>
      </c>
      <c r="B70" t="s">
        <v>161</v>
      </c>
      <c r="C70" t="s">
        <v>160</v>
      </c>
    </row>
    <row r="71" spans="1:3" x14ac:dyDescent="0.35">
      <c r="A71" t="s">
        <v>46</v>
      </c>
      <c r="B71" t="s">
        <v>43</v>
      </c>
      <c r="C71" t="s">
        <v>159</v>
      </c>
    </row>
    <row r="72" spans="1:3" x14ac:dyDescent="0.35">
      <c r="A72" t="s">
        <v>158</v>
      </c>
      <c r="B72" t="s">
        <v>157</v>
      </c>
      <c r="C72" t="s">
        <v>156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592EB-EE1A-476F-A7A3-4B88E8624F2D}">
  <sheetPr codeName="Sheet4"/>
  <dimension ref="A2:Q46"/>
  <sheetViews>
    <sheetView workbookViewId="0">
      <selection activeCell="A34" sqref="A34"/>
    </sheetView>
  </sheetViews>
  <sheetFormatPr defaultRowHeight="14.5" x14ac:dyDescent="0.35"/>
  <cols>
    <col min="1" max="1" width="6.33203125" bestFit="1" customWidth="1"/>
    <col min="2" max="5" width="8.75" bestFit="1" customWidth="1"/>
    <col min="6" max="6" width="7.5" bestFit="1" customWidth="1"/>
    <col min="7" max="17" width="8.75" bestFit="1" customWidth="1"/>
  </cols>
  <sheetData>
    <row r="2" spans="1:13" x14ac:dyDescent="0.35">
      <c r="A2" t="s">
        <v>100</v>
      </c>
      <c r="B2" t="s">
        <v>97</v>
      </c>
      <c r="C2" t="s">
        <v>95</v>
      </c>
      <c r="D2" t="s">
        <v>96</v>
      </c>
      <c r="E2" t="s">
        <v>94</v>
      </c>
      <c r="F2" t="s">
        <v>93</v>
      </c>
      <c r="G2" t="s">
        <v>92</v>
      </c>
      <c r="H2" t="s">
        <v>91</v>
      </c>
      <c r="I2" t="s">
        <v>90</v>
      </c>
      <c r="J2" s="7" t="s">
        <v>88</v>
      </c>
      <c r="K2" s="7" t="s">
        <v>89</v>
      </c>
      <c r="L2" t="s">
        <v>98</v>
      </c>
      <c r="M2" t="s">
        <v>99</v>
      </c>
    </row>
    <row r="3" spans="1:13" x14ac:dyDescent="0.35">
      <c r="A3">
        <v>1</v>
      </c>
      <c r="B3">
        <v>0</v>
      </c>
    </row>
    <row r="4" spans="1:13" x14ac:dyDescent="0.35">
      <c r="A4">
        <v>2</v>
      </c>
      <c r="B4">
        <v>0</v>
      </c>
      <c r="C4">
        <v>1</v>
      </c>
    </row>
    <row r="5" spans="1:13" x14ac:dyDescent="0.35">
      <c r="A5">
        <v>3</v>
      </c>
      <c r="B5">
        <v>0</v>
      </c>
      <c r="C5">
        <v>1</v>
      </c>
      <c r="D5">
        <v>1</v>
      </c>
    </row>
    <row r="6" spans="1:13" x14ac:dyDescent="0.35">
      <c r="A6">
        <v>4</v>
      </c>
      <c r="B6">
        <v>0</v>
      </c>
      <c r="C6">
        <v>1</v>
      </c>
      <c r="D6">
        <v>1</v>
      </c>
      <c r="E6">
        <v>1</v>
      </c>
    </row>
    <row r="7" spans="1:13" x14ac:dyDescent="0.35">
      <c r="A7">
        <v>5</v>
      </c>
      <c r="B7">
        <v>0</v>
      </c>
      <c r="C7">
        <v>1</v>
      </c>
      <c r="D7">
        <v>1</v>
      </c>
      <c r="E7">
        <v>1</v>
      </c>
      <c r="F7">
        <v>1</v>
      </c>
    </row>
    <row r="8" spans="1:13" x14ac:dyDescent="0.35">
      <c r="A8">
        <v>6</v>
      </c>
      <c r="B8">
        <v>0</v>
      </c>
      <c r="C8">
        <v>1</v>
      </c>
      <c r="D8">
        <v>1</v>
      </c>
      <c r="E8">
        <v>1</v>
      </c>
      <c r="F8">
        <v>1</v>
      </c>
      <c r="G8">
        <v>1</v>
      </c>
    </row>
    <row r="9" spans="1:13" x14ac:dyDescent="0.35">
      <c r="A9">
        <v>7</v>
      </c>
      <c r="B9">
        <v>0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13" x14ac:dyDescent="0.35">
      <c r="A10">
        <v>8</v>
      </c>
      <c r="B10">
        <v>0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</row>
    <row r="11" spans="1:13" x14ac:dyDescent="0.35">
      <c r="A11">
        <v>9</v>
      </c>
      <c r="B11">
        <v>0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</row>
    <row r="12" spans="1:13" x14ac:dyDescent="0.35">
      <c r="A12">
        <v>10</v>
      </c>
      <c r="B12">
        <v>0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</row>
    <row r="13" spans="1:13" x14ac:dyDescent="0.35">
      <c r="A13">
        <v>11</v>
      </c>
      <c r="B13">
        <v>0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</row>
    <row r="14" spans="1:13" x14ac:dyDescent="0.35">
      <c r="A14">
        <v>12</v>
      </c>
      <c r="B14">
        <v>0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</row>
    <row r="15" spans="1:13" x14ac:dyDescent="0.35">
      <c r="B15" s="8">
        <f t="shared" ref="B15:I15" si="0">(SUM(B3:B14)/12)</f>
        <v>0</v>
      </c>
      <c r="C15" s="8">
        <f t="shared" si="0"/>
        <v>0.91666666666666663</v>
      </c>
      <c r="D15" s="8">
        <f t="shared" si="0"/>
        <v>0.83333333333333337</v>
      </c>
      <c r="E15" s="8">
        <f t="shared" si="0"/>
        <v>0.75</v>
      </c>
      <c r="F15" s="8">
        <f t="shared" si="0"/>
        <v>0.66666666666666663</v>
      </c>
      <c r="G15" s="8">
        <f t="shared" si="0"/>
        <v>0.58333333333333337</v>
      </c>
      <c r="H15" s="8">
        <f t="shared" si="0"/>
        <v>0.5</v>
      </c>
      <c r="I15" s="8">
        <f t="shared" si="0"/>
        <v>0.41666666666666669</v>
      </c>
      <c r="J15" s="8">
        <f>(SUM(J3:J14)/12)</f>
        <v>0.33333333333333331</v>
      </c>
      <c r="K15" s="8">
        <f>(SUM(K3:K14)/12)</f>
        <v>0.25</v>
      </c>
      <c r="L15" s="8">
        <f t="shared" ref="L15:M15" si="1">(SUM(L3:L14)/12)</f>
        <v>0.16666666666666666</v>
      </c>
      <c r="M15" s="8">
        <f t="shared" si="1"/>
        <v>8.3333333333333329E-2</v>
      </c>
    </row>
    <row r="17" spans="1:17" x14ac:dyDescent="0.35">
      <c r="B17" s="253" t="s">
        <v>101</v>
      </c>
      <c r="C17" s="253"/>
      <c r="D17" s="253"/>
      <c r="E17" s="253"/>
      <c r="F17" s="253"/>
      <c r="G17" s="253"/>
      <c r="H17" s="253"/>
      <c r="I17" s="253"/>
      <c r="J17" s="253"/>
      <c r="K17" s="253"/>
      <c r="L17" s="253"/>
      <c r="M17" s="253"/>
      <c r="N17" s="253"/>
      <c r="O17" s="253"/>
      <c r="P17" s="253"/>
      <c r="Q17" s="253"/>
    </row>
    <row r="18" spans="1:17" x14ac:dyDescent="0.35">
      <c r="A18" t="s">
        <v>15</v>
      </c>
      <c r="B18">
        <v>1</v>
      </c>
      <c r="C18">
        <v>2</v>
      </c>
      <c r="D18">
        <v>3</v>
      </c>
      <c r="E18">
        <v>4</v>
      </c>
      <c r="F18">
        <v>5</v>
      </c>
      <c r="G18">
        <v>6</v>
      </c>
      <c r="H18">
        <v>7</v>
      </c>
      <c r="I18">
        <v>8</v>
      </c>
      <c r="J18">
        <v>9</v>
      </c>
      <c r="K18">
        <v>10</v>
      </c>
      <c r="L18">
        <v>11</v>
      </c>
      <c r="M18">
        <v>12</v>
      </c>
    </row>
    <row r="19" spans="1:17" x14ac:dyDescent="0.35">
      <c r="A19">
        <v>1</v>
      </c>
      <c r="B19" s="9">
        <f>$B$15*B$18</f>
        <v>0</v>
      </c>
      <c r="C19" s="9">
        <f t="shared" ref="C19:M19" si="2">$B$15*C$18</f>
        <v>0</v>
      </c>
      <c r="D19" s="9">
        <f t="shared" si="2"/>
        <v>0</v>
      </c>
      <c r="E19" s="9">
        <f t="shared" si="2"/>
        <v>0</v>
      </c>
      <c r="F19" s="9">
        <f t="shared" si="2"/>
        <v>0</v>
      </c>
      <c r="G19" s="9">
        <f t="shared" si="2"/>
        <v>0</v>
      </c>
      <c r="H19" s="9">
        <f t="shared" si="2"/>
        <v>0</v>
      </c>
      <c r="I19" s="9">
        <f t="shared" si="2"/>
        <v>0</v>
      </c>
      <c r="J19" s="9">
        <f t="shared" si="2"/>
        <v>0</v>
      </c>
      <c r="K19" s="9">
        <f t="shared" si="2"/>
        <v>0</v>
      </c>
      <c r="L19" s="9">
        <f t="shared" si="2"/>
        <v>0</v>
      </c>
      <c r="M19" s="9">
        <f t="shared" si="2"/>
        <v>0</v>
      </c>
      <c r="N19" s="9"/>
      <c r="O19" s="9"/>
      <c r="P19" s="9"/>
      <c r="Q19" s="9"/>
    </row>
    <row r="20" spans="1:17" x14ac:dyDescent="0.35">
      <c r="A20">
        <v>2</v>
      </c>
      <c r="B20" s="9">
        <f>$C$15*B$18</f>
        <v>0.91666666666666663</v>
      </c>
      <c r="C20" s="10">
        <f t="shared" ref="C20:M20" si="3">$C$15*C$18</f>
        <v>1.8333333333333333</v>
      </c>
      <c r="D20" s="11">
        <f t="shared" si="3"/>
        <v>2.75</v>
      </c>
      <c r="E20" s="12">
        <f t="shared" si="3"/>
        <v>3.6666666666666665</v>
      </c>
      <c r="F20" s="13">
        <f t="shared" si="3"/>
        <v>4.583333333333333</v>
      </c>
      <c r="G20" s="14">
        <f t="shared" si="3"/>
        <v>5.5</v>
      </c>
      <c r="H20" s="10">
        <f t="shared" si="3"/>
        <v>6.4166666666666661</v>
      </c>
      <c r="I20" s="11">
        <f t="shared" si="3"/>
        <v>7.333333333333333</v>
      </c>
      <c r="J20" s="12">
        <f t="shared" si="3"/>
        <v>8.25</v>
      </c>
      <c r="K20" s="13">
        <f t="shared" si="3"/>
        <v>9.1666666666666661</v>
      </c>
      <c r="L20" s="15">
        <f t="shared" si="3"/>
        <v>10.083333333333332</v>
      </c>
      <c r="M20" s="10">
        <f t="shared" si="3"/>
        <v>11</v>
      </c>
      <c r="N20" s="10"/>
      <c r="O20" s="11"/>
      <c r="P20" s="12"/>
      <c r="Q20" s="13"/>
    </row>
    <row r="21" spans="1:17" x14ac:dyDescent="0.35">
      <c r="A21" s="26">
        <v>3</v>
      </c>
      <c r="B21" s="27">
        <f>$D$15*B$18</f>
        <v>0.83333333333333337</v>
      </c>
      <c r="C21" s="28">
        <f t="shared" ref="C21:M21" si="4">$D$15*C$18</f>
        <v>1.6666666666666667</v>
      </c>
      <c r="D21" s="29">
        <f t="shared" si="4"/>
        <v>2.5</v>
      </c>
      <c r="E21" s="30">
        <f t="shared" si="4"/>
        <v>3.3333333333333335</v>
      </c>
      <c r="F21" s="31">
        <f t="shared" si="4"/>
        <v>4.166666666666667</v>
      </c>
      <c r="G21" s="32">
        <f t="shared" si="4"/>
        <v>5</v>
      </c>
      <c r="H21" s="32">
        <f t="shared" si="4"/>
        <v>5.8333333333333339</v>
      </c>
      <c r="I21" s="28">
        <f t="shared" si="4"/>
        <v>6.666666666666667</v>
      </c>
      <c r="J21" s="29">
        <f t="shared" si="4"/>
        <v>7.5</v>
      </c>
      <c r="K21" s="30">
        <f t="shared" si="4"/>
        <v>8.3333333333333339</v>
      </c>
      <c r="L21" s="31">
        <f t="shared" si="4"/>
        <v>9.1666666666666679</v>
      </c>
      <c r="M21" s="33">
        <f t="shared" si="4"/>
        <v>10</v>
      </c>
      <c r="N21" s="15"/>
      <c r="O21" s="10"/>
      <c r="P21" s="11"/>
      <c r="Q21" s="12"/>
    </row>
    <row r="22" spans="1:17" x14ac:dyDescent="0.35">
      <c r="A22">
        <v>4</v>
      </c>
      <c r="B22" s="9">
        <f>$E$15*B$18</f>
        <v>0.75</v>
      </c>
      <c r="C22" s="10">
        <f t="shared" ref="C22:M22" si="5">$E$15*C$18</f>
        <v>1.5</v>
      </c>
      <c r="D22" s="11">
        <f t="shared" si="5"/>
        <v>2.25</v>
      </c>
      <c r="E22" s="12">
        <f t="shared" si="5"/>
        <v>3</v>
      </c>
      <c r="F22" s="12">
        <f t="shared" si="5"/>
        <v>3.75</v>
      </c>
      <c r="G22" s="13">
        <f t="shared" si="5"/>
        <v>4.5</v>
      </c>
      <c r="H22" s="14">
        <f t="shared" si="5"/>
        <v>5.25</v>
      </c>
      <c r="I22" s="10">
        <f t="shared" si="5"/>
        <v>6</v>
      </c>
      <c r="J22" s="10">
        <f t="shared" si="5"/>
        <v>6.75</v>
      </c>
      <c r="K22" s="11">
        <f t="shared" si="5"/>
        <v>7.5</v>
      </c>
      <c r="L22" s="12">
        <f t="shared" si="5"/>
        <v>8.25</v>
      </c>
      <c r="M22" s="13">
        <f t="shared" si="5"/>
        <v>9</v>
      </c>
      <c r="N22" s="13"/>
      <c r="O22" s="15"/>
      <c r="P22" s="10"/>
      <c r="Q22" s="11"/>
    </row>
    <row r="23" spans="1:17" x14ac:dyDescent="0.35">
      <c r="A23" s="26">
        <v>5</v>
      </c>
      <c r="B23" s="27">
        <f>$F$15*B$18</f>
        <v>0.66666666666666663</v>
      </c>
      <c r="C23" s="28">
        <f t="shared" ref="C23:M23" si="6">$F$15*C$18</f>
        <v>1.3333333333333333</v>
      </c>
      <c r="D23" s="29">
        <f t="shared" si="6"/>
        <v>2</v>
      </c>
      <c r="E23" s="29">
        <f t="shared" si="6"/>
        <v>2.6666666666666665</v>
      </c>
      <c r="F23" s="30">
        <f t="shared" si="6"/>
        <v>3.333333333333333</v>
      </c>
      <c r="G23" s="31">
        <f t="shared" si="6"/>
        <v>4</v>
      </c>
      <c r="H23" s="31">
        <f t="shared" si="6"/>
        <v>4.6666666666666661</v>
      </c>
      <c r="I23" s="32">
        <f t="shared" si="6"/>
        <v>5.333333333333333</v>
      </c>
      <c r="J23" s="28">
        <f t="shared" si="6"/>
        <v>6</v>
      </c>
      <c r="K23" s="28">
        <f t="shared" si="6"/>
        <v>6.6666666666666661</v>
      </c>
      <c r="L23" s="29">
        <f t="shared" si="6"/>
        <v>7.333333333333333</v>
      </c>
      <c r="M23" s="30">
        <f t="shared" si="6"/>
        <v>8</v>
      </c>
      <c r="N23" s="12"/>
      <c r="O23" s="13"/>
      <c r="P23" s="15"/>
      <c r="Q23" s="15"/>
    </row>
    <row r="24" spans="1:17" x14ac:dyDescent="0.35">
      <c r="A24">
        <v>6</v>
      </c>
      <c r="B24" s="9">
        <f>$G$15*B$18</f>
        <v>0.58333333333333337</v>
      </c>
      <c r="C24" s="10">
        <f t="shared" ref="C24:M24" si="7">$G$15*C$18</f>
        <v>1.1666666666666667</v>
      </c>
      <c r="D24" s="10">
        <f t="shared" si="7"/>
        <v>1.75</v>
      </c>
      <c r="E24" s="11">
        <f t="shared" si="7"/>
        <v>2.3333333333333335</v>
      </c>
      <c r="F24" s="11">
        <f t="shared" si="7"/>
        <v>2.916666666666667</v>
      </c>
      <c r="G24" s="12">
        <f t="shared" si="7"/>
        <v>3.5</v>
      </c>
      <c r="H24" s="13">
        <f t="shared" si="7"/>
        <v>4.0833333333333339</v>
      </c>
      <c r="I24" s="13">
        <f t="shared" si="7"/>
        <v>4.666666666666667</v>
      </c>
      <c r="J24" s="14">
        <f t="shared" si="7"/>
        <v>5.25</v>
      </c>
      <c r="K24" s="14">
        <f t="shared" si="7"/>
        <v>5.8333333333333339</v>
      </c>
      <c r="L24" s="10">
        <f t="shared" si="7"/>
        <v>6.416666666666667</v>
      </c>
      <c r="M24" s="11">
        <f t="shared" si="7"/>
        <v>7</v>
      </c>
      <c r="N24" s="11"/>
      <c r="O24" s="12"/>
      <c r="P24" s="12"/>
      <c r="Q24" s="13"/>
    </row>
    <row r="25" spans="1:17" x14ac:dyDescent="0.35">
      <c r="A25" s="26">
        <v>7</v>
      </c>
      <c r="B25" s="27">
        <f>$H$15*B$18</f>
        <v>0.5</v>
      </c>
      <c r="C25" s="28">
        <f t="shared" ref="C25:M25" si="8">$H$15*C$18</f>
        <v>1</v>
      </c>
      <c r="D25" s="28">
        <f t="shared" si="8"/>
        <v>1.5</v>
      </c>
      <c r="E25" s="29">
        <f t="shared" si="8"/>
        <v>2</v>
      </c>
      <c r="F25" s="29">
        <f t="shared" si="8"/>
        <v>2.5</v>
      </c>
      <c r="G25" s="30">
        <f t="shared" si="8"/>
        <v>3</v>
      </c>
      <c r="H25" s="30">
        <f t="shared" si="8"/>
        <v>3.5</v>
      </c>
      <c r="I25" s="31">
        <f t="shared" si="8"/>
        <v>4</v>
      </c>
      <c r="J25" s="31">
        <f t="shared" si="8"/>
        <v>4.5</v>
      </c>
      <c r="K25" s="32">
        <f t="shared" si="8"/>
        <v>5</v>
      </c>
      <c r="L25" s="32">
        <f t="shared" si="8"/>
        <v>5.5</v>
      </c>
      <c r="M25" s="28">
        <f t="shared" si="8"/>
        <v>6</v>
      </c>
      <c r="N25" s="10"/>
      <c r="O25" s="11"/>
      <c r="P25" s="11"/>
      <c r="Q25" s="12"/>
    </row>
    <row r="26" spans="1:17" x14ac:dyDescent="0.35">
      <c r="A26" s="19">
        <v>8</v>
      </c>
      <c r="B26" s="20">
        <f>$I$15*B$18</f>
        <v>0.41666666666666669</v>
      </c>
      <c r="C26" s="20">
        <f t="shared" ref="C26:M26" si="9">$I$15*C$18</f>
        <v>0.83333333333333337</v>
      </c>
      <c r="D26" s="21">
        <f t="shared" si="9"/>
        <v>1.25</v>
      </c>
      <c r="E26" s="21">
        <f t="shared" si="9"/>
        <v>1.6666666666666667</v>
      </c>
      <c r="F26" s="22">
        <f t="shared" si="9"/>
        <v>2.0833333333333335</v>
      </c>
      <c r="G26" s="22">
        <f t="shared" si="9"/>
        <v>2.5</v>
      </c>
      <c r="H26" s="22">
        <f t="shared" si="9"/>
        <v>2.916666666666667</v>
      </c>
      <c r="I26" s="23">
        <f t="shared" si="9"/>
        <v>3.3333333333333335</v>
      </c>
      <c r="J26" s="23">
        <f t="shared" si="9"/>
        <v>3.75</v>
      </c>
      <c r="K26" s="24">
        <f t="shared" si="9"/>
        <v>4.166666666666667</v>
      </c>
      <c r="L26" s="24">
        <f t="shared" si="9"/>
        <v>4.5833333333333339</v>
      </c>
      <c r="M26" s="25">
        <f t="shared" si="9"/>
        <v>5</v>
      </c>
      <c r="N26" s="14"/>
      <c r="O26" s="14"/>
      <c r="P26" s="10"/>
      <c r="Q26" s="10"/>
    </row>
    <row r="27" spans="1:17" x14ac:dyDescent="0.35">
      <c r="A27">
        <v>9</v>
      </c>
      <c r="B27" s="9">
        <f>$J$15*B$18</f>
        <v>0.33333333333333331</v>
      </c>
      <c r="C27" s="9">
        <f t="shared" ref="C27:M27" si="10">$J$15*C$18</f>
        <v>0.66666666666666663</v>
      </c>
      <c r="D27" s="10">
        <f t="shared" si="10"/>
        <v>1</v>
      </c>
      <c r="E27" s="10">
        <f t="shared" si="10"/>
        <v>1.3333333333333333</v>
      </c>
      <c r="F27" s="10">
        <f t="shared" si="10"/>
        <v>1.6666666666666665</v>
      </c>
      <c r="G27" s="11">
        <f t="shared" si="10"/>
        <v>2</v>
      </c>
      <c r="H27" s="11">
        <f t="shared" si="10"/>
        <v>2.333333333333333</v>
      </c>
      <c r="I27" s="11">
        <f t="shared" si="10"/>
        <v>2.6666666666666665</v>
      </c>
      <c r="J27" s="12">
        <f t="shared" si="10"/>
        <v>3</v>
      </c>
      <c r="K27" s="12">
        <f t="shared" si="10"/>
        <v>3.333333333333333</v>
      </c>
      <c r="L27" s="12">
        <f t="shared" si="10"/>
        <v>3.6666666666666665</v>
      </c>
      <c r="M27" s="13">
        <f t="shared" si="10"/>
        <v>4</v>
      </c>
      <c r="N27" s="13"/>
      <c r="O27" s="13"/>
      <c r="P27" s="14"/>
      <c r="Q27" s="14"/>
    </row>
    <row r="28" spans="1:17" x14ac:dyDescent="0.35">
      <c r="A28">
        <v>10</v>
      </c>
      <c r="B28" s="9">
        <f>$K$15*B$18</f>
        <v>0.25</v>
      </c>
      <c r="C28" s="9">
        <f t="shared" ref="C28:M28" si="11">$K$15*C$18</f>
        <v>0.5</v>
      </c>
      <c r="D28" s="9">
        <f t="shared" si="11"/>
        <v>0.75</v>
      </c>
      <c r="E28" s="10">
        <f t="shared" si="11"/>
        <v>1</v>
      </c>
      <c r="F28" s="10">
        <f t="shared" si="11"/>
        <v>1.25</v>
      </c>
      <c r="G28" s="10">
        <f t="shared" si="11"/>
        <v>1.5</v>
      </c>
      <c r="H28" s="10">
        <f t="shared" si="11"/>
        <v>1.75</v>
      </c>
      <c r="I28" s="11">
        <f t="shared" si="11"/>
        <v>2</v>
      </c>
      <c r="J28" s="11">
        <f t="shared" si="11"/>
        <v>2.25</v>
      </c>
      <c r="K28" s="11">
        <f t="shared" si="11"/>
        <v>2.5</v>
      </c>
      <c r="L28" s="11">
        <f t="shared" si="11"/>
        <v>2.75</v>
      </c>
      <c r="M28" s="12">
        <f t="shared" si="11"/>
        <v>3</v>
      </c>
      <c r="N28" s="12"/>
      <c r="O28" s="12"/>
      <c r="P28" s="12"/>
      <c r="Q28" s="13"/>
    </row>
    <row r="29" spans="1:17" x14ac:dyDescent="0.35">
      <c r="A29">
        <v>11</v>
      </c>
      <c r="B29" s="9">
        <f>$L$15*B$18</f>
        <v>0.16666666666666666</v>
      </c>
      <c r="C29" s="9">
        <f t="shared" ref="C29:M29" si="12">$L$15*C$18</f>
        <v>0.33333333333333331</v>
      </c>
      <c r="D29" s="9">
        <f t="shared" si="12"/>
        <v>0.5</v>
      </c>
      <c r="E29" s="9">
        <f t="shared" si="12"/>
        <v>0.66666666666666663</v>
      </c>
      <c r="F29" s="9">
        <f t="shared" si="12"/>
        <v>0.83333333333333326</v>
      </c>
      <c r="G29" s="10">
        <f t="shared" si="12"/>
        <v>1</v>
      </c>
      <c r="H29" s="10">
        <f t="shared" si="12"/>
        <v>1.1666666666666665</v>
      </c>
      <c r="I29" s="10">
        <f t="shared" si="12"/>
        <v>1.3333333333333333</v>
      </c>
      <c r="J29" s="10">
        <f t="shared" si="12"/>
        <v>1.5</v>
      </c>
      <c r="K29" s="10">
        <f t="shared" si="12"/>
        <v>1.6666666666666665</v>
      </c>
      <c r="L29" s="10">
        <f t="shared" si="12"/>
        <v>1.8333333333333333</v>
      </c>
      <c r="M29" s="11">
        <f t="shared" si="12"/>
        <v>2</v>
      </c>
      <c r="N29" s="11"/>
      <c r="O29" s="11"/>
      <c r="P29" s="11"/>
      <c r="Q29" s="11"/>
    </row>
    <row r="30" spans="1:17" x14ac:dyDescent="0.35">
      <c r="A30">
        <v>12</v>
      </c>
      <c r="B30" s="9">
        <f>$M$15*B$18</f>
        <v>8.3333333333333329E-2</v>
      </c>
      <c r="C30" s="9">
        <f t="shared" ref="C30:M30" si="13">$M$15*C$18</f>
        <v>0.16666666666666666</v>
      </c>
      <c r="D30" s="9">
        <f t="shared" si="13"/>
        <v>0.25</v>
      </c>
      <c r="E30" s="9">
        <f t="shared" si="13"/>
        <v>0.33333333333333331</v>
      </c>
      <c r="F30" s="9">
        <f t="shared" si="13"/>
        <v>0.41666666666666663</v>
      </c>
      <c r="G30" s="9">
        <f t="shared" si="13"/>
        <v>0.5</v>
      </c>
      <c r="H30" s="9">
        <f t="shared" si="13"/>
        <v>0.58333333333333326</v>
      </c>
      <c r="I30" s="9">
        <f t="shared" si="13"/>
        <v>0.66666666666666663</v>
      </c>
      <c r="J30" s="9">
        <f t="shared" si="13"/>
        <v>0.75</v>
      </c>
      <c r="K30" s="9">
        <f t="shared" si="13"/>
        <v>0.83333333333333326</v>
      </c>
      <c r="L30" s="9">
        <f t="shared" si="13"/>
        <v>0.91666666666666663</v>
      </c>
      <c r="M30" s="10">
        <f t="shared" si="13"/>
        <v>1</v>
      </c>
      <c r="N30" s="10"/>
      <c r="O30" s="10"/>
      <c r="P30" s="10"/>
      <c r="Q30" s="10"/>
    </row>
    <row r="32" spans="1:17" x14ac:dyDescent="0.35">
      <c r="A32" t="s">
        <v>55</v>
      </c>
      <c r="B32" s="272" t="s">
        <v>53</v>
      </c>
      <c r="C32" s="272"/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</row>
    <row r="33" spans="1:14" x14ac:dyDescent="0.35">
      <c r="A33" s="16" t="s">
        <v>102</v>
      </c>
      <c r="B33" s="17">
        <v>0</v>
      </c>
      <c r="C33" s="17">
        <v>1</v>
      </c>
      <c r="D33" s="17">
        <v>2</v>
      </c>
      <c r="E33" s="17">
        <v>3</v>
      </c>
      <c r="F33" s="17">
        <v>4</v>
      </c>
      <c r="G33" s="17">
        <v>5</v>
      </c>
      <c r="H33" s="17">
        <v>6</v>
      </c>
      <c r="I33" s="17">
        <v>7</v>
      </c>
      <c r="J33" s="17">
        <v>8</v>
      </c>
      <c r="K33" s="17">
        <v>9</v>
      </c>
      <c r="L33" s="17">
        <v>10</v>
      </c>
      <c r="M33" s="17">
        <v>11</v>
      </c>
      <c r="N33" s="17">
        <v>12</v>
      </c>
    </row>
    <row r="34" spans="1:14" x14ac:dyDescent="0.35">
      <c r="A34" s="18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35">
      <c r="A35" s="18">
        <v>1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35">
      <c r="A36" s="18">
        <v>2</v>
      </c>
      <c r="B36">
        <v>0</v>
      </c>
      <c r="C36">
        <v>0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35">
      <c r="A37" s="18">
        <v>3</v>
      </c>
      <c r="B37">
        <v>0</v>
      </c>
      <c r="C37">
        <v>0</v>
      </c>
      <c r="D37">
        <v>2</v>
      </c>
      <c r="E37">
        <v>2</v>
      </c>
      <c r="F37">
        <v>2</v>
      </c>
      <c r="G37">
        <v>2</v>
      </c>
      <c r="H37">
        <v>1</v>
      </c>
      <c r="I37">
        <v>1</v>
      </c>
      <c r="J37">
        <v>1</v>
      </c>
      <c r="K37">
        <v>1</v>
      </c>
      <c r="L37">
        <v>0</v>
      </c>
      <c r="M37">
        <v>0</v>
      </c>
      <c r="N37">
        <v>0</v>
      </c>
    </row>
    <row r="38" spans="1:14" x14ac:dyDescent="0.35">
      <c r="A38" s="18">
        <v>4</v>
      </c>
      <c r="B38">
        <v>0</v>
      </c>
      <c r="C38">
        <v>0</v>
      </c>
      <c r="D38">
        <v>3</v>
      </c>
      <c r="E38">
        <v>3</v>
      </c>
      <c r="F38">
        <v>3</v>
      </c>
      <c r="G38">
        <v>2</v>
      </c>
      <c r="H38">
        <v>2</v>
      </c>
      <c r="I38">
        <v>2</v>
      </c>
      <c r="J38">
        <v>1</v>
      </c>
      <c r="K38">
        <v>1</v>
      </c>
      <c r="L38">
        <v>1</v>
      </c>
      <c r="M38">
        <v>0</v>
      </c>
      <c r="N38">
        <v>0</v>
      </c>
    </row>
    <row r="39" spans="1:14" x14ac:dyDescent="0.35">
      <c r="A39" s="18">
        <v>5</v>
      </c>
      <c r="B39">
        <v>0</v>
      </c>
      <c r="C39">
        <v>0</v>
      </c>
      <c r="D39">
        <v>4</v>
      </c>
      <c r="E39">
        <v>4</v>
      </c>
      <c r="F39">
        <v>3</v>
      </c>
      <c r="G39">
        <v>3</v>
      </c>
      <c r="H39">
        <v>2</v>
      </c>
      <c r="I39">
        <v>2</v>
      </c>
      <c r="J39">
        <v>2</v>
      </c>
      <c r="K39">
        <v>1</v>
      </c>
      <c r="L39">
        <v>1</v>
      </c>
      <c r="M39">
        <v>0</v>
      </c>
      <c r="N39">
        <v>0</v>
      </c>
    </row>
    <row r="40" spans="1:14" x14ac:dyDescent="0.35">
      <c r="A40" s="18">
        <v>6</v>
      </c>
      <c r="B40">
        <v>0</v>
      </c>
      <c r="C40">
        <v>0</v>
      </c>
      <c r="D40">
        <v>5</v>
      </c>
      <c r="E40">
        <v>5</v>
      </c>
      <c r="F40">
        <v>4</v>
      </c>
      <c r="G40">
        <v>4</v>
      </c>
      <c r="H40">
        <v>3</v>
      </c>
      <c r="I40">
        <v>3</v>
      </c>
      <c r="J40">
        <v>2</v>
      </c>
      <c r="K40">
        <v>2</v>
      </c>
      <c r="L40">
        <v>1</v>
      </c>
      <c r="M40">
        <v>1</v>
      </c>
      <c r="N40">
        <v>0</v>
      </c>
    </row>
    <row r="41" spans="1:14" x14ac:dyDescent="0.35">
      <c r="A41" s="18">
        <v>7</v>
      </c>
      <c r="B41">
        <v>0</v>
      </c>
      <c r="C41">
        <v>0</v>
      </c>
      <c r="D41">
        <v>6</v>
      </c>
      <c r="E41">
        <v>5</v>
      </c>
      <c r="F41">
        <v>5</v>
      </c>
      <c r="G41">
        <v>4</v>
      </c>
      <c r="H41">
        <v>3</v>
      </c>
      <c r="I41">
        <v>3</v>
      </c>
      <c r="J41">
        <v>2</v>
      </c>
      <c r="K41">
        <v>2</v>
      </c>
      <c r="L41">
        <v>1</v>
      </c>
      <c r="M41">
        <v>1</v>
      </c>
      <c r="N41">
        <v>0</v>
      </c>
    </row>
    <row r="42" spans="1:14" x14ac:dyDescent="0.35">
      <c r="A42" s="18">
        <v>8</v>
      </c>
      <c r="B42">
        <v>0</v>
      </c>
      <c r="C42">
        <v>0</v>
      </c>
      <c r="D42">
        <v>7</v>
      </c>
      <c r="E42">
        <v>6</v>
      </c>
      <c r="F42">
        <v>6</v>
      </c>
      <c r="G42">
        <v>5</v>
      </c>
      <c r="H42">
        <v>4</v>
      </c>
      <c r="I42">
        <v>4</v>
      </c>
      <c r="J42">
        <v>3</v>
      </c>
      <c r="K42">
        <v>2</v>
      </c>
      <c r="L42">
        <v>2</v>
      </c>
      <c r="M42">
        <v>1</v>
      </c>
      <c r="N42">
        <v>0</v>
      </c>
    </row>
    <row r="43" spans="1:14" x14ac:dyDescent="0.35">
      <c r="A43" s="18">
        <v>9</v>
      </c>
      <c r="B43">
        <v>0</v>
      </c>
      <c r="C43">
        <v>0</v>
      </c>
      <c r="D43">
        <v>8</v>
      </c>
      <c r="E43">
        <v>7</v>
      </c>
      <c r="F43">
        <v>6</v>
      </c>
      <c r="G43">
        <v>6</v>
      </c>
      <c r="H43">
        <v>4</v>
      </c>
      <c r="I43">
        <v>4</v>
      </c>
      <c r="J43">
        <v>3</v>
      </c>
      <c r="K43">
        <v>3</v>
      </c>
      <c r="L43">
        <v>2</v>
      </c>
      <c r="M43">
        <v>1</v>
      </c>
      <c r="N43">
        <v>0</v>
      </c>
    </row>
    <row r="44" spans="1:14" x14ac:dyDescent="0.35">
      <c r="A44" s="18">
        <v>10</v>
      </c>
      <c r="B44">
        <v>0</v>
      </c>
      <c r="C44">
        <v>0</v>
      </c>
      <c r="D44">
        <v>9</v>
      </c>
      <c r="E44">
        <v>8</v>
      </c>
      <c r="F44">
        <v>7</v>
      </c>
      <c r="G44">
        <v>6</v>
      </c>
      <c r="H44">
        <v>5</v>
      </c>
      <c r="I44">
        <v>5</v>
      </c>
      <c r="J44">
        <v>4</v>
      </c>
      <c r="K44">
        <v>3</v>
      </c>
      <c r="L44">
        <v>2</v>
      </c>
      <c r="M44">
        <v>1</v>
      </c>
      <c r="N44">
        <v>0</v>
      </c>
    </row>
    <row r="45" spans="1:14" x14ac:dyDescent="0.35">
      <c r="A45" s="18">
        <v>11</v>
      </c>
      <c r="B45">
        <v>0</v>
      </c>
      <c r="C45">
        <v>0</v>
      </c>
      <c r="D45">
        <v>10</v>
      </c>
      <c r="E45">
        <v>9</v>
      </c>
      <c r="F45">
        <v>8</v>
      </c>
      <c r="G45">
        <v>7</v>
      </c>
      <c r="H45">
        <v>6</v>
      </c>
      <c r="I45">
        <v>5</v>
      </c>
      <c r="J45">
        <v>4</v>
      </c>
      <c r="K45">
        <v>3</v>
      </c>
      <c r="L45">
        <v>2</v>
      </c>
      <c r="M45">
        <v>1</v>
      </c>
      <c r="N45">
        <v>0</v>
      </c>
    </row>
    <row r="46" spans="1:14" x14ac:dyDescent="0.35">
      <c r="A46" s="18">
        <v>12</v>
      </c>
      <c r="B46">
        <v>0</v>
      </c>
      <c r="C46">
        <v>0</v>
      </c>
      <c r="D46">
        <v>11</v>
      </c>
      <c r="E46">
        <v>10</v>
      </c>
      <c r="F46">
        <v>9</v>
      </c>
      <c r="G46">
        <v>8</v>
      </c>
      <c r="H46">
        <v>7</v>
      </c>
      <c r="I46">
        <v>6</v>
      </c>
      <c r="J46">
        <v>5</v>
      </c>
      <c r="K46">
        <v>4</v>
      </c>
      <c r="L46">
        <v>3</v>
      </c>
      <c r="M46">
        <v>2</v>
      </c>
      <c r="N46">
        <v>1</v>
      </c>
    </row>
  </sheetData>
  <sheetProtection algorithmName="SHA-512" hashValue="+a7sGiVvhFFu5wNKS/ecAQWenk9ICdpLUhFU2kMidYzzVd27kEt3bfqixuN9IV+u9UFOQGztnbUbRS/ZDCZvvA==" saltValue="ZuZR7sbRNNitvmunMKfN9w==" spinCount="100000" sheet="1" objects="1" scenarios="1"/>
  <mergeCells count="2">
    <mergeCell ref="B17:Q17"/>
    <mergeCell ref="B32:N3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Doc</vt:lpstr>
      <vt:lpstr>Character Controls</vt:lpstr>
      <vt:lpstr>Proficiency</vt:lpstr>
      <vt:lpstr>Morals</vt:lpstr>
      <vt:lpstr>Parameters</vt:lpstr>
      <vt:lpstr>Characteristics</vt:lpstr>
      <vt:lpstr>Skill List</vt:lpstr>
      <vt:lpstr>Characteristic Tables</vt:lpstr>
      <vt:lpstr>Glossary</vt:lpstr>
      <vt:lpstr>Tier Constraints</vt:lpstr>
      <vt:lpstr>GearCosts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 Bastian</dc:creator>
  <cp:lastModifiedBy>John Bastian</cp:lastModifiedBy>
  <cp:lastPrinted>2022-01-12T03:49:54Z</cp:lastPrinted>
  <dcterms:created xsi:type="dcterms:W3CDTF">2021-12-15T12:28:39Z</dcterms:created>
  <dcterms:modified xsi:type="dcterms:W3CDTF">2022-02-04T09:54:13Z</dcterms:modified>
</cp:coreProperties>
</file>